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urav\Voice Agent\"/>
    </mc:Choice>
  </mc:AlternateContent>
  <xr:revisionPtr revIDLastSave="0" documentId="13_ncr:1_{ED12BEA9-C7E2-4494-A222-6299A4548F85}" xr6:coauthVersionLast="47" xr6:coauthVersionMax="47" xr10:uidLastSave="{00000000-0000-0000-0000-000000000000}"/>
  <bookViews>
    <workbookView xWindow="3255" yWindow="90" windowWidth="28455" windowHeight="15480" activeTab="3" xr2:uid="{00000000-000D-0000-FFFF-FFFF00000000}"/>
  </bookViews>
  <sheets>
    <sheet name="RawData" sheetId="1" r:id="rId1"/>
    <sheet name="Apple" sheetId="3" r:id="rId2"/>
    <sheet name="Samsung" sheetId="4" r:id="rId3"/>
    <sheet name="Google 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" i="3" l="1"/>
  <c r="F42" i="3"/>
  <c r="B42" i="3"/>
  <c r="E42" i="3" s="1"/>
  <c r="D42" i="3" s="1"/>
  <c r="I41" i="3"/>
  <c r="F41" i="3"/>
  <c r="B41" i="3"/>
  <c r="E41" i="3" s="1"/>
  <c r="D41" i="3" s="1"/>
  <c r="I40" i="3"/>
  <c r="H40" i="3" s="1"/>
  <c r="F40" i="3"/>
  <c r="B40" i="3"/>
  <c r="E40" i="3" s="1"/>
  <c r="D40" i="3" s="1"/>
  <c r="I39" i="3"/>
  <c r="H39" i="3" s="1"/>
  <c r="F39" i="3"/>
  <c r="B39" i="3"/>
  <c r="E39" i="3" s="1"/>
  <c r="D39" i="3" s="1"/>
  <c r="I38" i="3"/>
  <c r="F38" i="3"/>
  <c r="B38" i="3"/>
  <c r="E38" i="3" s="1"/>
  <c r="D38" i="3" s="1"/>
  <c r="I37" i="3"/>
  <c r="F37" i="3"/>
  <c r="H37" i="3" s="1"/>
  <c r="B37" i="3"/>
  <c r="E37" i="3" s="1"/>
  <c r="D37" i="3" s="1"/>
  <c r="I36" i="3"/>
  <c r="H36" i="3"/>
  <c r="F36" i="3"/>
  <c r="B36" i="3"/>
  <c r="E36" i="3" s="1"/>
  <c r="D36" i="3" s="1"/>
  <c r="I35" i="3"/>
  <c r="H35" i="3" s="1"/>
  <c r="F35" i="3"/>
  <c r="B35" i="3"/>
  <c r="E35" i="3" s="1"/>
  <c r="D35" i="3" s="1"/>
  <c r="I34" i="3"/>
  <c r="F34" i="3"/>
  <c r="B34" i="3"/>
  <c r="E34" i="3" s="1"/>
  <c r="D34" i="3" s="1"/>
  <c r="I33" i="3"/>
  <c r="F33" i="3"/>
  <c r="B33" i="3"/>
  <c r="E33" i="3" s="1"/>
  <c r="D33" i="3" s="1"/>
  <c r="I32" i="3"/>
  <c r="F32" i="3"/>
  <c r="E32" i="3"/>
  <c r="D32" i="3" s="1"/>
  <c r="B32" i="3"/>
  <c r="I31" i="3"/>
  <c r="H31" i="3" s="1"/>
  <c r="F31" i="3"/>
  <c r="E31" i="3"/>
  <c r="D31" i="3" s="1"/>
  <c r="B31" i="3"/>
  <c r="I30" i="3"/>
  <c r="H30" i="3" s="1"/>
  <c r="F30" i="3"/>
  <c r="B30" i="3"/>
  <c r="E30" i="3" s="1"/>
  <c r="D30" i="3" s="1"/>
  <c r="I29" i="3"/>
  <c r="F29" i="3"/>
  <c r="H29" i="3" s="1"/>
  <c r="B29" i="3"/>
  <c r="E29" i="3" s="1"/>
  <c r="D29" i="3" s="1"/>
  <c r="I28" i="3"/>
  <c r="F28" i="3"/>
  <c r="H28" i="3" s="1"/>
  <c r="B28" i="3"/>
  <c r="E28" i="3" s="1"/>
  <c r="D28" i="3" s="1"/>
  <c r="I27" i="3"/>
  <c r="F27" i="3"/>
  <c r="H27" i="3" s="1"/>
  <c r="B27" i="3"/>
  <c r="E27" i="3" s="1"/>
  <c r="D27" i="3" s="1"/>
  <c r="I26" i="3"/>
  <c r="F26" i="3"/>
  <c r="B26" i="3"/>
  <c r="E26" i="3" s="1"/>
  <c r="D26" i="3" s="1"/>
  <c r="I25" i="3"/>
  <c r="H25" i="3" s="1"/>
  <c r="F25" i="3"/>
  <c r="B25" i="3"/>
  <c r="E25" i="3" s="1"/>
  <c r="D25" i="3" s="1"/>
  <c r="I24" i="3"/>
  <c r="F24" i="3"/>
  <c r="E24" i="3"/>
  <c r="D24" i="3"/>
  <c r="B24" i="3"/>
  <c r="I23" i="3"/>
  <c r="H23" i="3" s="1"/>
  <c r="F23" i="3"/>
  <c r="B23" i="3"/>
  <c r="E23" i="3" s="1"/>
  <c r="D23" i="3" s="1"/>
  <c r="I22" i="3"/>
  <c r="H22" i="3" s="1"/>
  <c r="F22" i="3"/>
  <c r="B22" i="3"/>
  <c r="E22" i="3" s="1"/>
  <c r="D22" i="3" s="1"/>
  <c r="I21" i="3"/>
  <c r="F21" i="3"/>
  <c r="B21" i="3"/>
  <c r="E21" i="3" s="1"/>
  <c r="D21" i="3" s="1"/>
  <c r="I20" i="3"/>
  <c r="F20" i="3"/>
  <c r="H20" i="3" s="1"/>
  <c r="B20" i="3"/>
  <c r="E20" i="3" s="1"/>
  <c r="D20" i="3" s="1"/>
  <c r="I19" i="3"/>
  <c r="F19" i="3"/>
  <c r="H19" i="3" s="1"/>
  <c r="B19" i="3"/>
  <c r="E19" i="3" s="1"/>
  <c r="D19" i="3" s="1"/>
  <c r="I18" i="3"/>
  <c r="F18" i="3"/>
  <c r="B18" i="3"/>
  <c r="E18" i="3" s="1"/>
  <c r="D18" i="3" s="1"/>
  <c r="I17" i="3"/>
  <c r="H17" i="3" s="1"/>
  <c r="F17" i="3"/>
  <c r="B17" i="3"/>
  <c r="E17" i="3" s="1"/>
  <c r="D17" i="3" s="1"/>
  <c r="I16" i="3"/>
  <c r="F16" i="3"/>
  <c r="B16" i="3"/>
  <c r="E16" i="3" s="1"/>
  <c r="D16" i="3" s="1"/>
  <c r="I15" i="3"/>
  <c r="H15" i="3" s="1"/>
  <c r="F15" i="3"/>
  <c r="B15" i="3"/>
  <c r="E15" i="3" s="1"/>
  <c r="D15" i="3" s="1"/>
  <c r="I14" i="3"/>
  <c r="F14" i="3"/>
  <c r="B14" i="3"/>
  <c r="E14" i="3" s="1"/>
  <c r="D14" i="3" s="1"/>
  <c r="I13" i="3"/>
  <c r="F13" i="3"/>
  <c r="B13" i="3"/>
  <c r="E13" i="3" s="1"/>
  <c r="D13" i="3" s="1"/>
  <c r="I12" i="3"/>
  <c r="F12" i="3"/>
  <c r="H12" i="3" s="1"/>
  <c r="B12" i="3"/>
  <c r="E12" i="3" s="1"/>
  <c r="D12" i="3" s="1"/>
  <c r="I11" i="3"/>
  <c r="F11" i="3"/>
  <c r="H11" i="3" s="1"/>
  <c r="B11" i="3"/>
  <c r="E11" i="3" s="1"/>
  <c r="D11" i="3" s="1"/>
  <c r="I10" i="3"/>
  <c r="H10" i="3" s="1"/>
  <c r="F10" i="3"/>
  <c r="B10" i="3"/>
  <c r="E10" i="3" s="1"/>
  <c r="D10" i="3" s="1"/>
  <c r="I9" i="3"/>
  <c r="H9" i="3" s="1"/>
  <c r="F9" i="3"/>
  <c r="B9" i="3"/>
  <c r="E9" i="3" s="1"/>
  <c r="D9" i="3" s="1"/>
  <c r="I8" i="3"/>
  <c r="H8" i="3" s="1"/>
  <c r="F8" i="3"/>
  <c r="B8" i="3"/>
  <c r="E8" i="3" s="1"/>
  <c r="D8" i="3" s="1"/>
  <c r="I7" i="3"/>
  <c r="F7" i="3"/>
  <c r="H7" i="3" s="1"/>
  <c r="B7" i="3"/>
  <c r="E7" i="3" s="1"/>
  <c r="D7" i="3" s="1"/>
  <c r="I6" i="3"/>
  <c r="H6" i="3" s="1"/>
  <c r="F6" i="3"/>
  <c r="B6" i="3"/>
  <c r="E6" i="3" s="1"/>
  <c r="D6" i="3" s="1"/>
  <c r="I5" i="3"/>
  <c r="F5" i="3"/>
  <c r="B5" i="3"/>
  <c r="E5" i="3" s="1"/>
  <c r="D5" i="3" s="1"/>
  <c r="I4" i="3"/>
  <c r="H4" i="3"/>
  <c r="F4" i="3"/>
  <c r="B4" i="3"/>
  <c r="E4" i="3" s="1"/>
  <c r="D4" i="3" s="1"/>
  <c r="I3" i="3"/>
  <c r="F3" i="3"/>
  <c r="B3" i="3"/>
  <c r="E3" i="3" s="1"/>
  <c r="D3" i="3" s="1"/>
  <c r="I2" i="3"/>
  <c r="H2" i="3" s="1"/>
  <c r="F2" i="3"/>
  <c r="B2" i="3"/>
  <c r="E2" i="3" s="1"/>
  <c r="D2" i="3" s="1"/>
  <c r="I39" i="1"/>
  <c r="I31" i="1"/>
  <c r="I23" i="1"/>
  <c r="I22" i="1"/>
  <c r="I15" i="1"/>
  <c r="I7" i="1"/>
  <c r="I6" i="1"/>
  <c r="I42" i="1"/>
  <c r="I41" i="1"/>
  <c r="E41" i="1"/>
  <c r="I40" i="1"/>
  <c r="I38" i="1"/>
  <c r="I37" i="1"/>
  <c r="E37" i="1"/>
  <c r="I36" i="1"/>
  <c r="I34" i="1"/>
  <c r="I33" i="1"/>
  <c r="E33" i="1"/>
  <c r="I32" i="1"/>
  <c r="I30" i="1"/>
  <c r="I29" i="1"/>
  <c r="E29" i="1"/>
  <c r="I28" i="1"/>
  <c r="I25" i="1"/>
  <c r="E25" i="1"/>
  <c r="I24" i="1"/>
  <c r="I21" i="1"/>
  <c r="E21" i="1"/>
  <c r="I20" i="1"/>
  <c r="I18" i="1"/>
  <c r="E17" i="1"/>
  <c r="I16" i="1"/>
  <c r="I14" i="1"/>
  <c r="I13" i="1"/>
  <c r="E13" i="1"/>
  <c r="I12" i="1"/>
  <c r="I10" i="1"/>
  <c r="E9" i="1"/>
  <c r="I8" i="1"/>
  <c r="I5" i="1"/>
  <c r="E5" i="1"/>
  <c r="I4" i="1"/>
  <c r="I2" i="1"/>
  <c r="H16" i="3" l="1"/>
  <c r="H33" i="3"/>
  <c r="H42" i="3"/>
  <c r="H21" i="3"/>
  <c r="H38" i="3"/>
  <c r="H32" i="3"/>
  <c r="H13" i="3"/>
  <c r="H34" i="3"/>
  <c r="H3" i="3"/>
  <c r="H24" i="3"/>
  <c r="H5" i="3"/>
  <c r="H26" i="3"/>
  <c r="H14" i="3"/>
  <c r="H18" i="3"/>
  <c r="H41" i="3"/>
  <c r="E38" i="1"/>
  <c r="E28" i="1"/>
  <c r="E11" i="1"/>
  <c r="E16" i="1"/>
  <c r="E14" i="1"/>
  <c r="E42" i="1"/>
  <c r="E7" i="1"/>
  <c r="E30" i="1"/>
  <c r="E39" i="1"/>
  <c r="E24" i="1"/>
  <c r="E34" i="1"/>
  <c r="E10" i="1"/>
  <c r="E26" i="1"/>
  <c r="E31" i="1"/>
  <c r="E22" i="1"/>
  <c r="E15" i="1"/>
  <c r="E2" i="1"/>
  <c r="E27" i="1"/>
  <c r="E36" i="1"/>
  <c r="E19" i="1"/>
  <c r="E6" i="1"/>
  <c r="E12" i="1"/>
  <c r="E3" i="1"/>
  <c r="E40" i="1"/>
  <c r="E32" i="1"/>
  <c r="E20" i="1"/>
  <c r="E35" i="1"/>
  <c r="E8" i="1"/>
  <c r="E4" i="1"/>
  <c r="E18" i="1"/>
  <c r="E23" i="1"/>
  <c r="I9" i="1"/>
  <c r="I17" i="1"/>
  <c r="I26" i="1"/>
  <c r="I3" i="1"/>
  <c r="I11" i="1"/>
  <c r="I19" i="1"/>
  <c r="I27" i="1"/>
  <c r="I35" i="1"/>
</calcChain>
</file>

<file path=xl/sharedStrings.xml><?xml version="1.0" encoding="utf-8"?>
<sst xmlns="http://schemas.openxmlformats.org/spreadsheetml/2006/main" count="599" uniqueCount="283">
  <si>
    <t>Model</t>
  </si>
  <si>
    <t>AQ7 URL</t>
  </si>
  <si>
    <t>AQ7 MS</t>
  </si>
  <si>
    <t>AQ7 Labor</t>
  </si>
  <si>
    <t>AQ7 Margin</t>
  </si>
  <si>
    <t>XO7 URL</t>
  </si>
  <si>
    <t>XO7 MS</t>
  </si>
  <si>
    <t>XO7 Labor</t>
  </si>
  <si>
    <t>XO7 Margin</t>
  </si>
  <si>
    <t>OEM Screen</t>
  </si>
  <si>
    <t>AM Battery</t>
  </si>
  <si>
    <t>OEM Battery</t>
  </si>
  <si>
    <t xml:space="preserve">Charge Port </t>
  </si>
  <si>
    <t>Back Glass</t>
  </si>
  <si>
    <t xml:space="preserve">Second Repair </t>
  </si>
  <si>
    <t>Third Repair</t>
  </si>
  <si>
    <t>iPhone 17 Pro Max</t>
  </si>
  <si>
    <t>https://www.mobilesentrix.ca/lcd-assembly-for-iphone-17-pro-max-aftermarket-aq7-incell-120hz</t>
  </si>
  <si>
    <t>77.73</t>
  </si>
  <si>
    <t>https://www.mobilesentrix.ca/oled-assembly-compatible-for-iphone-17-pro-max-aftermarket-pro-xo7-soft-120hz</t>
  </si>
  <si>
    <t>204.73</t>
  </si>
  <si>
    <t>NA</t>
  </si>
  <si>
    <t xml:space="preserve">50% Off </t>
  </si>
  <si>
    <t>70% off</t>
  </si>
  <si>
    <t>iPhone 17 Pro</t>
  </si>
  <si>
    <t>https://www.mobilesentrix.ca/lcd-assembly-for-iphone-17-pro-aftermarket-aq7-incell-120hz</t>
  </si>
  <si>
    <t>https://www.mobilesentrix.ca/oled-assembly-compatible-for-iphone-17-pro-aftermarket-pro-xo7-soft-120hz</t>
  </si>
  <si>
    <t>153.76</t>
  </si>
  <si>
    <t>iPhone 17</t>
  </si>
  <si>
    <t>https://www.mobilesentrix.ca/lcd-assembly-for-iphone-17-aftermarket-aq7-incell-120hz</t>
  </si>
  <si>
    <t>https://www.mobilesentrix.ca/oled-assembly-compatible-for-iphone-17-aftermarket-pro-xo7-soft-120hz</t>
  </si>
  <si>
    <t>150.64</t>
  </si>
  <si>
    <t>Iphone Air</t>
  </si>
  <si>
    <t>Not Available</t>
  </si>
  <si>
    <t/>
  </si>
  <si>
    <t>https://www.mobilesentrix.ca/oled-assembly-compatible-for-iphone-air-aftermarket-pro-xo7-soft-120hz</t>
  </si>
  <si>
    <t>293.94</t>
  </si>
  <si>
    <t>iPhone 16 Pro Max</t>
  </si>
  <si>
    <t>https://www.mobilesentrix.ca/lcd-assembly-compatible-for-iphone-16-pro-max-aftermarket-aq7-incell-120hz</t>
  </si>
  <si>
    <t>55.57</t>
  </si>
  <si>
    <t>https://www.mobilesentrix.ca/oled-assembly-compatible-for-iphone-16-pro-max-aftermarket-pro-xo7-soft</t>
  </si>
  <si>
    <t>175.19</t>
  </si>
  <si>
    <t>iPhone 16 Pro</t>
  </si>
  <si>
    <t>https://www.mobilesentrix.ca/lcd-assembly-compatible-for-iphone-16-pro-aftermarket-aq7-incell-120hz</t>
  </si>
  <si>
    <t>52.63</t>
  </si>
  <si>
    <t>https://www.mobilesentrix.ca/oled-assembly-compatible-for-iphone-16-pro-aftermarket-pro-xo7-soft</t>
  </si>
  <si>
    <t>130.89</t>
  </si>
  <si>
    <t>iPhone 16 Plus</t>
  </si>
  <si>
    <t>https://www.mobilesentrix.ca/lcd-assembly-compatible-for-iphone-16-plus-aftermarket-aq7-incell</t>
  </si>
  <si>
    <t>43.17</t>
  </si>
  <si>
    <t>https://www.mobilesentrix.ca/oled-assembly-compatible-for-iphone-16-plus-aftermarket-pro-xo7-soft</t>
  </si>
  <si>
    <t>81.07</t>
  </si>
  <si>
    <t>iPhone 16</t>
  </si>
  <si>
    <t>https://www.mobilesentrix.ca/lcd-assembly-compatible-for-iphone-16-aftermarket-aq7-incell</t>
  </si>
  <si>
    <t>33.73</t>
  </si>
  <si>
    <t>https://www.mobilesentrix.ca/oled-assembly-compatible-for-iphone-16-aftermarket-pro-xo7-soft</t>
  </si>
  <si>
    <t>70.73</t>
  </si>
  <si>
    <t>iPhone 16e</t>
  </si>
  <si>
    <t>https://www.mobilesentrix.ca/lcd-assembly-compatible-for-iphone-17e-16e-aftermarket-aq7-incell</t>
  </si>
  <si>
    <t>30.47</t>
  </si>
  <si>
    <t>https://www.mobilesentrix.ca/oled-assembly-compatible-for-iphone-17e-16e-aftermarket-pro-xo7-soft</t>
  </si>
  <si>
    <t>70.34</t>
  </si>
  <si>
    <t>iPhone 15 Pro Max</t>
  </si>
  <si>
    <t>https://www.mobilesentrix.ca/lcd-assembly-compatible-for-iphone-15-pro-max-aftermarket-aq7-incell-120hz</t>
  </si>
  <si>
    <t>54.10</t>
  </si>
  <si>
    <t>https://www.mobilesentrix.ca/oled-assembly-for-iphone-15-pro-max-aftermarket-pro-xo7-soft-120hz</t>
  </si>
  <si>
    <t>68.71</t>
  </si>
  <si>
    <t>iPhone 15 Pro</t>
  </si>
  <si>
    <t>https://www.mobilesentrix.ca/lcd-assembly-compatible-for-iphone-15-pro-aftermarket-aq7-incell-120hz</t>
  </si>
  <si>
    <t>34.11</t>
  </si>
  <si>
    <t>https://www.mobilesentrix.ca/oled-assembly-compatible-for-iphone-15-pro-aftermarket-pro-xo7-soft-120hz</t>
  </si>
  <si>
    <t>69.30</t>
  </si>
  <si>
    <t>iPhone 15 Plus</t>
  </si>
  <si>
    <t>https://www.mobilesentrix.ca/lcd-assembly-for-iphone-15-plus-aftermarket-aq7-incell</t>
  </si>
  <si>
    <t>32.39</t>
  </si>
  <si>
    <t>https://www.mobilesentrix.ca/oled-assembly-for-iphone-15-plus-aftermarket-pro-xo7-soft</t>
  </si>
  <si>
    <t>86.19</t>
  </si>
  <si>
    <t>iPhone 15</t>
  </si>
  <si>
    <t>https://www.mobilesentrix.ca/lcd-assembly-for-iphone-15-aftermarket-aq7-incell</t>
  </si>
  <si>
    <t>30.81</t>
  </si>
  <si>
    <t>https://www.mobilesentrix.ca/oled-assembly-for-iphone-15-aftermarket-pro-xo7-soft</t>
  </si>
  <si>
    <t>iPhone 14 Pro Max</t>
  </si>
  <si>
    <t>https://www.mobilesentrix.ca/lcd-assembly-compatible-for-iphone-14-pro-max-aftermarket-aq7-incell-120hz</t>
  </si>
  <si>
    <t>51.43</t>
  </si>
  <si>
    <t>https://www.mobilesentrix.ca/oled-assembly-for-iphone-14-pro-max-aftermarket-pro-xo7-soft</t>
  </si>
  <si>
    <t>73.47</t>
  </si>
  <si>
    <t>iPhone 14 Pro</t>
  </si>
  <si>
    <t>https://www.mobilesentrix.ca/lcd-assembly-compatible-for-iphone-14-pro-aftermarket-aq7-incell-120hz</t>
  </si>
  <si>
    <t>36.97</t>
  </si>
  <si>
    <t>https://www.mobilesentrix.ca/oled-assembly-compatible-for-iphone-14-pro-aftermarket-pro-xo7-soft-120hz</t>
  </si>
  <si>
    <t>69.26</t>
  </si>
  <si>
    <t>iPhone 14 Plus</t>
  </si>
  <si>
    <t>https://www.mobilesentrix.ca/lcd-assembly-for-iphone-14-plus-aftermarket-aq7-incell</t>
  </si>
  <si>
    <t>33.20</t>
  </si>
  <si>
    <t>https://www.mobilesentrix.ca/oled-assembly-for-iphone-14-plus-aftermarket-pro-xo7-soft</t>
  </si>
  <si>
    <t>63.34</t>
  </si>
  <si>
    <t>iPhone 14</t>
  </si>
  <si>
    <t>https://www.mobilesentrix.ca/lcd-assembly-for-iphone-14-aftermarket-aq7-incell</t>
  </si>
  <si>
    <t>26.86</t>
  </si>
  <si>
    <t>https://www.mobilesentrix.ca/oled-assembly-for-iphone-14-aftermarket-pro-xo7-soft</t>
  </si>
  <si>
    <t>67.39</t>
  </si>
  <si>
    <t>iPhone 13 Pro Max</t>
  </si>
  <si>
    <t>https://www.mobilesentrix.ca/lcd-assembly-compatible-for-iphone-13-pro-max-aftermarket-aq7-incell-120hz</t>
  </si>
  <si>
    <t>36.39</t>
  </si>
  <si>
    <t>https://www.mobilesentrix.ca/oled-assembly-for-iphone-13-pro-max-aftermarket-pro-xo7-soft-120hz</t>
  </si>
  <si>
    <t>iPhone 13 Pro</t>
  </si>
  <si>
    <t>https://www.mobilesentrix.ca/lcd-assembly-compatible-for-iphone-13-pro-aftermarket-aq7-incell-120hz</t>
  </si>
  <si>
    <t>35.79</t>
  </si>
  <si>
    <t>https://www.mobilesentrix.ca/oled-assembly-compatible-for-iphone-13-pro-aftermarket-pro-xo7-soft-120hz</t>
  </si>
  <si>
    <t>74.77</t>
  </si>
  <si>
    <t>iPhone 13</t>
  </si>
  <si>
    <t>https://www.mobilesentrix.ca/lcd-assembly-for-iphone-13-aftermarket-aq7-incell</t>
  </si>
  <si>
    <t>25.64</t>
  </si>
  <si>
    <t>https://www.mobilesentrix.ca/oled-assembly-for-iphone-13-aftermarket-pro-xo7-soft</t>
  </si>
  <si>
    <t>iPhone 13 Mini</t>
  </si>
  <si>
    <t>https://www.mobilesentrix.ca/lcd-assembly-for-iphone-13-mini-aftermarket-aq7-incell</t>
  </si>
  <si>
    <t>38.01</t>
  </si>
  <si>
    <t>https://www.mobilesentrix.ca/oled-assembly-for-iphone-13-mini-aftermarket-pro-xo7-soft</t>
  </si>
  <si>
    <t>iPhone 12 Pro Max</t>
  </si>
  <si>
    <t>https://www.mobilesentrix.ca/lcd-assembly-for-iphone-12-pro-max-aftermarket-incell</t>
  </si>
  <si>
    <t>35.36</t>
  </si>
  <si>
    <t>https://www.mobilesentrix.ca/oled-assembly-for-iphone-12-pro-max-aftermarket-pro-xo7-soft</t>
  </si>
  <si>
    <t>68.87</t>
  </si>
  <si>
    <t>iPhone 12 Pro</t>
  </si>
  <si>
    <t>https://www.mobilesentrix.ca/lcd-assembly-for-iphone-12-12-pro-aftermarket-incell</t>
  </si>
  <si>
    <t>22.79</t>
  </si>
  <si>
    <t>https://www.mobilesentrix.ca/oled-assembly-for-iphone-12-12-pro-aftermarket-pro-xo7-soft</t>
  </si>
  <si>
    <t>60.01</t>
  </si>
  <si>
    <t>iPhone 12</t>
  </si>
  <si>
    <t>iPhone 12 Mini</t>
  </si>
  <si>
    <t>https://www.mobilesentrix.ca/lcd-assembly-compatible-for-iphone-12-mini-aftermarket-aq7-incell</t>
  </si>
  <si>
    <t>37.11</t>
  </si>
  <si>
    <t>iPhone 11 Pro Max</t>
  </si>
  <si>
    <t>https://www.mobilesentrix.ca/lcd-assembly-replacement-for-iphone-11-pro-max-aftermarket-aq7-incell</t>
  </si>
  <si>
    <t>21.77</t>
  </si>
  <si>
    <t>https://www.mobilesentrix.ca/oled-assembly-for-iphone-11-pro-max-aftermarket-pro-xo7-soft</t>
  </si>
  <si>
    <t>57.50</t>
  </si>
  <si>
    <t>iPhone 11 Pro</t>
  </si>
  <si>
    <t>https://www.mobilesentrix.ca/lcd-assembly-replacement-for-iphone-11-pro-aftermarket-aq7-incell</t>
  </si>
  <si>
    <t>22.36</t>
  </si>
  <si>
    <t>https://www.mobilesentrix.ca/oled-assembly-compatible-for-iphone-11-pro-aftermarket-plus-quality-boe-soft</t>
  </si>
  <si>
    <t>63.11</t>
  </si>
  <si>
    <t>iPhone 11</t>
  </si>
  <si>
    <t>https://www.mobilesentrix.ca/lcd-assembly-with-steel-plate-pre-installed-replacement-for-iphone-11-aftermarket-aq7</t>
  </si>
  <si>
    <t>20.73</t>
  </si>
  <si>
    <t>https://www.mobilesentrix.ca/lcd-assembly-compatible-for-iphone-11-aftermarket-plus-quality-xo7-cof-incell</t>
  </si>
  <si>
    <t>25.37</t>
  </si>
  <si>
    <t>iPhone XS Max</t>
  </si>
  <si>
    <t>https://www.mobilesentrix.ca/lcd-assembly-for-iphone-xs-max-aftermarket-pro-aq7-incell</t>
  </si>
  <si>
    <t>21.10</t>
  </si>
  <si>
    <t>https://www.mobilesentrix.ca/oled-assembly-for-iphone-xs-max-aftermarket-pro-xo7-soft</t>
  </si>
  <si>
    <t>48.40</t>
  </si>
  <si>
    <t>iPhone XS</t>
  </si>
  <si>
    <t>https://www.mobilesentrix.ca/lcd-assembly-replacement-for-iphone-xs-aftermarket-aq7-incell</t>
  </si>
  <si>
    <t>22.94</t>
  </si>
  <si>
    <t>https://www.mobilesentrix.ca/lcd-assembly-for-iphone-x-s-aftermarket-plus-quality</t>
  </si>
  <si>
    <t>51.10</t>
  </si>
  <si>
    <t>iPhone X</t>
  </si>
  <si>
    <t>https://www.mobilesentrix.ca/lcd-assembly-replacement-for-iphone-x-aftermarket-aq7-incell</t>
  </si>
  <si>
    <t>https://www.mobilesentrix.ca/lcd-assembly-for-iphone-x-aftermarket-plus-quality</t>
  </si>
  <si>
    <t>50.26</t>
  </si>
  <si>
    <t>iPhone XR</t>
  </si>
  <si>
    <t>https://www.mobilesentrix.ca/lcd-assembly-with-steel-plate-pre-installed-replacement-for-iphone-xr-aftermarket-aq7</t>
  </si>
  <si>
    <t>20.53</t>
  </si>
  <si>
    <t>https://www.mobilesentrix.ca/oled-assembly-compatible-for-iphone-xr-aftermarket-plus-quality-xo7-cof-incell</t>
  </si>
  <si>
    <t>23.97</t>
  </si>
  <si>
    <t>iPhone 8 Plus</t>
  </si>
  <si>
    <t>https://www.mobilesentrix.ca/lcd-assembly-compatible-for-iphone-8-plus-aftermarket-plus-quality-xo7-incell-black</t>
  </si>
  <si>
    <t>28.61</t>
  </si>
  <si>
    <t>iPhone SE 20/22</t>
  </si>
  <si>
    <t>https://www.mobilesentrix.ca/lcd-assembly-compatible-for-iphone-8-aftermarket-plus-quality-xo7-black</t>
  </si>
  <si>
    <t>19.89</t>
  </si>
  <si>
    <t>iPhone 8</t>
  </si>
  <si>
    <t>iPhone 7 Plus</t>
  </si>
  <si>
    <t>https://www.mobilesentrix.ca/lcd-assembly-compatible-for-iphone-7-plus-aftermarket-plus-quality-xo7-incell-white</t>
  </si>
  <si>
    <t>30.06</t>
  </si>
  <si>
    <t>iPhone 7</t>
  </si>
  <si>
    <t>https://www.mobilesentrix.ca/lcd-assembly-compatible-for-iphone-7-aftermarket-plus-quality-xo7-black</t>
  </si>
  <si>
    <t>20.79</t>
  </si>
  <si>
    <t>iPhone 6s Plus</t>
  </si>
  <si>
    <t>https://www.mobilesentrix.ca/lcd-assembly-compatible-for-iphone-6s-plus-aftermarket-plus-quality-xo7-incell-black</t>
  </si>
  <si>
    <t>25.33</t>
  </si>
  <si>
    <t>iPhone 6s</t>
  </si>
  <si>
    <t>https://www.mobilesentrix.ca/lcd-assembly-with-steel-plate-replacement-for-iphone-6s-aftermarket-aq7-black</t>
  </si>
  <si>
    <t>18.70</t>
  </si>
  <si>
    <t>https://www.mobilesentrix.ca/lcd-assembly-compatible-for-iphone-6s-aftermarket-plus-quality-xo7-white</t>
  </si>
  <si>
    <t>18.66</t>
  </si>
  <si>
    <t>iPhone 6 Plus</t>
  </si>
  <si>
    <t>https://www.mobilesentrix.ca/lcd-assembly-for-iphone-6-plus-aftermarket-plus-quality-xo6-white</t>
  </si>
  <si>
    <t>24.16</t>
  </si>
  <si>
    <t>iPhone 6</t>
  </si>
  <si>
    <t>https://www.mobilesentrix.ca/lcd-assembly-compatible-for-iphone-6-aftermarket-plus-quality-xo7-incell-white</t>
  </si>
  <si>
    <t>18.99</t>
  </si>
  <si>
    <t>AQ7</t>
  </si>
  <si>
    <t>XO7</t>
  </si>
  <si>
    <t>OEM Cost</t>
  </si>
  <si>
    <t>Battery Cost</t>
  </si>
  <si>
    <t>Back Glass Cost</t>
  </si>
  <si>
    <t>CHECK</t>
  </si>
  <si>
    <t>Galaxy 'S' Series</t>
  </si>
  <si>
    <t>OLED</t>
  </si>
  <si>
    <t>OCTA</t>
  </si>
  <si>
    <t>Charge Port</t>
  </si>
  <si>
    <t>Battery</t>
  </si>
  <si>
    <t>A Series</t>
  </si>
  <si>
    <t>Screen</t>
  </si>
  <si>
    <t>Galaxy 'Z' Series</t>
  </si>
  <si>
    <t>Sub UB</t>
  </si>
  <si>
    <t>S25 Ultra</t>
  </si>
  <si>
    <t>A54</t>
  </si>
  <si>
    <t>Fold 7</t>
  </si>
  <si>
    <t>S25+</t>
  </si>
  <si>
    <t>A53</t>
  </si>
  <si>
    <t>Flip 7</t>
  </si>
  <si>
    <t>S25</t>
  </si>
  <si>
    <t>A52</t>
  </si>
  <si>
    <t>Fold 6</t>
  </si>
  <si>
    <t>S24 Ultra</t>
  </si>
  <si>
    <t>A32</t>
  </si>
  <si>
    <t>Flip 6</t>
  </si>
  <si>
    <t>S24+</t>
  </si>
  <si>
    <t>A71</t>
  </si>
  <si>
    <t>Fold 5</t>
  </si>
  <si>
    <t>S24</t>
  </si>
  <si>
    <t>A51</t>
  </si>
  <si>
    <t>Flip 5</t>
  </si>
  <si>
    <t>S24 FE</t>
  </si>
  <si>
    <t>A70</t>
  </si>
  <si>
    <t>Fold 4</t>
  </si>
  <si>
    <t>S23 Ultra</t>
  </si>
  <si>
    <t>A50</t>
  </si>
  <si>
    <t>Flip 4</t>
  </si>
  <si>
    <t>S23+</t>
  </si>
  <si>
    <t>A36</t>
  </si>
  <si>
    <t>Fold 3</t>
  </si>
  <si>
    <t>S23</t>
  </si>
  <si>
    <t>A35</t>
  </si>
  <si>
    <t>Flip 3</t>
  </si>
  <si>
    <t>S23 FE</t>
  </si>
  <si>
    <t>A23</t>
  </si>
  <si>
    <t>S22 Ultra</t>
  </si>
  <si>
    <t>A21</t>
  </si>
  <si>
    <t>S22+</t>
  </si>
  <si>
    <t>A20</t>
  </si>
  <si>
    <t>S22</t>
  </si>
  <si>
    <t>A16</t>
  </si>
  <si>
    <t>S21 Ultra</t>
  </si>
  <si>
    <t>A15</t>
  </si>
  <si>
    <t>S21+</t>
  </si>
  <si>
    <t>A14</t>
  </si>
  <si>
    <t>S21 FE</t>
  </si>
  <si>
    <t>A13</t>
  </si>
  <si>
    <t>S21</t>
  </si>
  <si>
    <t>A12</t>
  </si>
  <si>
    <t>S20 Ultra</t>
  </si>
  <si>
    <t>A11</t>
  </si>
  <si>
    <t>S20 +</t>
  </si>
  <si>
    <t>A10e</t>
  </si>
  <si>
    <t>S20 FE</t>
  </si>
  <si>
    <t>A03s</t>
  </si>
  <si>
    <t>Pixel 10 Pro Fold</t>
  </si>
  <si>
    <t>$1099 innie / $289 outie</t>
  </si>
  <si>
    <t>Pixel 10 Pro XL</t>
  </si>
  <si>
    <t>Pixel 10 Pro</t>
  </si>
  <si>
    <t>Pixel 10</t>
  </si>
  <si>
    <t>Pixel 9a</t>
  </si>
  <si>
    <t>Pixel 9 Pro Fold</t>
  </si>
  <si>
    <t>$999 innie / $239 outie</t>
  </si>
  <si>
    <t>Pixel 9 Pro XL</t>
  </si>
  <si>
    <t>Pixel 9 Pro</t>
  </si>
  <si>
    <t>Pixel 9</t>
  </si>
  <si>
    <t>Pixel 8 Pro</t>
  </si>
  <si>
    <t>Pixel 8</t>
  </si>
  <si>
    <t>Pixel 8A</t>
  </si>
  <si>
    <t>Pixel 7 Pro</t>
  </si>
  <si>
    <t>Pixel 7</t>
  </si>
  <si>
    <t>Pixel 7A</t>
  </si>
  <si>
    <t>Pixel 6 Pro</t>
  </si>
  <si>
    <t>Pixel 6</t>
  </si>
  <si>
    <t>Pixel 6A</t>
  </si>
  <si>
    <t>S26 Ultra</t>
  </si>
  <si>
    <t>S26</t>
  </si>
  <si>
    <t>S26+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</si>
</sst>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9" x14ac:knownFonts="1">
    <font>
      <sz val="10"/>
      <color rgb="FF000000"/>
      <name val="Arial"/>
      <scheme val="minor"/>
    </font>
    <font>
      <b/>
      <sz val="10"/>
      <color rgb="FF000000"/>
      <name val="Calibri"/>
    </font>
    <font>
      <b/>
      <sz val="11"/>
      <color rgb="FF000000"/>
      <name val="Calibri"/>
    </font>
    <font>
      <b/>
      <u/>
      <sz val="10"/>
      <color rgb="FF000000"/>
      <name val="Arial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10"/>
      <color theme="1"/>
      <name val="Arial"/>
    </font>
    <font>
      <b/>
      <sz val="11"/>
      <color theme="1"/>
      <name val="Aptos Narrow"/>
    </font>
    <font>
      <b/>
      <sz val="11"/>
      <color rgb="FF000000"/>
      <name val="Arial"/>
    </font>
    <font>
      <b/>
      <sz val="11"/>
      <color theme="1"/>
      <name val="Arial"/>
    </font>
    <font>
      <b/>
      <sz val="11"/>
      <color rgb="FF000000"/>
      <name val="Aptos Narrow"/>
    </font>
    <font>
      <b/>
      <sz val="10"/>
      <color theme="1"/>
      <name val="Aptos Narrow"/>
    </font>
    <font>
      <b/>
      <sz val="10"/>
      <color rgb="FF000000"/>
      <name val="Aptos Narrow"/>
    </font>
    <font>
      <b/>
      <u/>
      <sz val="10"/>
      <color rgb="FF000000"/>
      <name val="Arial"/>
    </font>
    <font>
      <sz val="10"/>
      <color theme="1"/>
      <name val="Arial"/>
      <scheme val="minor"/>
    </font>
    <font>
      <b/>
      <u/>
      <sz val="10"/>
      <color rgb="FF000000"/>
      <name val="Aptos Narrow"/>
    </font>
    <font>
      <b/>
      <u/>
      <sz val="10"/>
      <color rgb="FF000000"/>
      <name val="Aptos Narrow"/>
    </font>
    <font>
      <sz val="10"/>
      <color theme="1"/>
      <name val="Arial"/>
      <scheme val="minor"/>
    </font>
    <font>
      <b/>
      <sz val="16"/>
      <color rgb="FF000000"/>
      <name val="Calibri"/>
    </font>
    <font>
      <b/>
      <sz val="16"/>
      <color rgb="FF000000"/>
      <name val="Arial"/>
    </font>
    <font>
      <b/>
      <sz val="16"/>
      <color theme="1"/>
      <name val="Aptos Narrow"/>
    </font>
    <font>
      <b/>
      <sz val="16"/>
      <color theme="1"/>
      <name val="Arial"/>
    </font>
    <font>
      <b/>
      <sz val="16"/>
      <color rgb="FF000000"/>
      <name val="Aptos Narrow"/>
    </font>
    <font>
      <b/>
      <sz val="12"/>
      <color theme="1"/>
      <name val="Calibri"/>
    </font>
    <font>
      <b/>
      <sz val="14"/>
      <color rgb="FFFFFFFF"/>
      <name val="Calibri"/>
    </font>
    <font>
      <b/>
      <sz val="16"/>
      <color rgb="FFFF0000"/>
      <name val="Arial"/>
    </font>
    <font>
      <b/>
      <sz val="14"/>
      <color rgb="FFFF0000"/>
      <name val="Arial"/>
    </font>
    <font>
      <b/>
      <sz val="14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DA291C"/>
        <bgColor rgb="FFDA291C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99999"/>
        <bgColor rgb="FF9999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0" fontId="14" fillId="0" borderId="1" xfId="0" applyNumberFormat="1" applyFont="1" applyBorder="1"/>
    <xf numFmtId="0" fontId="14" fillId="0" borderId="1" xfId="0" applyFont="1" applyBorder="1"/>
    <xf numFmtId="10" fontId="12" fillId="0" borderId="1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vertical="center"/>
    </xf>
    <xf numFmtId="164" fontId="19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10" fontId="19" fillId="0" borderId="3" xfId="0" applyNumberFormat="1" applyFont="1" applyBorder="1" applyAlignment="1">
      <alignment horizontal="center" vertical="center"/>
    </xf>
    <xf numFmtId="164" fontId="19" fillId="3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0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0" fontId="22" fillId="0" borderId="3" xfId="0" applyNumberFormat="1" applyFont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164" fontId="23" fillId="5" borderId="1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/>
    </xf>
    <xf numFmtId="164" fontId="25" fillId="0" borderId="1" xfId="0" applyNumberFormat="1" applyFont="1" applyBorder="1" applyAlignment="1">
      <alignment horizontal="center" vertical="center"/>
    </xf>
    <xf numFmtId="164" fontId="26" fillId="0" borderId="1" xfId="0" applyNumberFormat="1" applyFont="1" applyBorder="1" applyAlignment="1">
      <alignment horizontal="center" vertical="center"/>
    </xf>
    <xf numFmtId="164" fontId="27" fillId="0" borderId="1" xfId="0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F3CCCC"/>
          <bgColor rgb="FFF3CCCC"/>
        </patternFill>
      </fill>
    </dxf>
    <dxf>
      <fill>
        <patternFill patternType="solid">
          <fgColor rgb="FFF3CCCC"/>
          <bgColor rgb="FFF3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obilesentrix.ca/lcd-assembly-compatible-for-iphone-14-pro-max-aftermarket-aq7-incell-120hz" TargetMode="External"/><Relationship Id="rId21" Type="http://schemas.openxmlformats.org/officeDocument/2006/relationships/hyperlink" Target="https://www.mobilesentrix.ca/oled-assembly-compatible-for-iphone-15-pro-aftermarket-pro-xo7-soft-120hz" TargetMode="External"/><Relationship Id="rId42" Type="http://schemas.openxmlformats.org/officeDocument/2006/relationships/hyperlink" Target="https://www.mobilesentrix.ca/lcd-assembly-for-iphone-12-pro-max-aftermarket-incell" TargetMode="External"/><Relationship Id="rId47" Type="http://schemas.openxmlformats.org/officeDocument/2006/relationships/hyperlink" Target="https://www.mobilesentrix.ca/oled-assembly-for-iphone-12-12-pro-aftermarket-pro-xo7-soft" TargetMode="External"/><Relationship Id="rId63" Type="http://schemas.openxmlformats.org/officeDocument/2006/relationships/hyperlink" Target="https://www.mobilesentrix.ca/lcd-assembly-compatible-for-iphone-8-plus-aftermarket-plus-quality-xo7-incell-black" TargetMode="External"/><Relationship Id="rId68" Type="http://schemas.openxmlformats.org/officeDocument/2006/relationships/hyperlink" Target="https://www.mobilesentrix.ca/lcd-assembly-compatible-for-iphone-6s-plus-aftermarket-plus-quality-xo7-incell-black" TargetMode="External"/><Relationship Id="rId7" Type="http://schemas.openxmlformats.org/officeDocument/2006/relationships/hyperlink" Target="https://www.mobilesentrix.ca/oled-assembly-compatible-for-iphone-air-aftermarket-pro-xo7-soft-120hz" TargetMode="External"/><Relationship Id="rId71" Type="http://schemas.openxmlformats.org/officeDocument/2006/relationships/hyperlink" Target="https://www.mobilesentrix.ca/lcd-assembly-for-iphone-6-plus-aftermarket-plus-quality-xo6-white" TargetMode="External"/><Relationship Id="rId2" Type="http://schemas.openxmlformats.org/officeDocument/2006/relationships/hyperlink" Target="https://www.mobilesentrix.ca/oled-assembly-compatible-for-iphone-17-pro-max-aftermarket-pro-xo7-soft-120hz" TargetMode="External"/><Relationship Id="rId16" Type="http://schemas.openxmlformats.org/officeDocument/2006/relationships/hyperlink" Target="https://www.mobilesentrix.ca/lcd-assembly-compatible-for-iphone-17e-16e-aftermarket-aq7-incell" TargetMode="External"/><Relationship Id="rId29" Type="http://schemas.openxmlformats.org/officeDocument/2006/relationships/hyperlink" Target="https://www.mobilesentrix.ca/oled-assembly-compatible-for-iphone-14-pro-aftermarket-pro-xo7-soft-120hz" TargetMode="External"/><Relationship Id="rId11" Type="http://schemas.openxmlformats.org/officeDocument/2006/relationships/hyperlink" Target="https://www.mobilesentrix.ca/oled-assembly-compatible-for-iphone-16-pro-aftermarket-pro-xo7-soft" TargetMode="External"/><Relationship Id="rId24" Type="http://schemas.openxmlformats.org/officeDocument/2006/relationships/hyperlink" Target="https://www.mobilesentrix.ca/lcd-assembly-for-iphone-15-aftermarket-aq7-incell" TargetMode="External"/><Relationship Id="rId32" Type="http://schemas.openxmlformats.org/officeDocument/2006/relationships/hyperlink" Target="https://www.mobilesentrix.ca/lcd-assembly-for-iphone-14-aftermarket-aq7-incell" TargetMode="External"/><Relationship Id="rId37" Type="http://schemas.openxmlformats.org/officeDocument/2006/relationships/hyperlink" Target="https://www.mobilesentrix.ca/oled-assembly-compatible-for-iphone-13-pro-aftermarket-pro-xo7-soft-120hz" TargetMode="External"/><Relationship Id="rId40" Type="http://schemas.openxmlformats.org/officeDocument/2006/relationships/hyperlink" Target="https://www.mobilesentrix.ca/lcd-assembly-for-iphone-13-mini-aftermarket-aq7-incell" TargetMode="External"/><Relationship Id="rId45" Type="http://schemas.openxmlformats.org/officeDocument/2006/relationships/hyperlink" Target="https://www.mobilesentrix.ca/oled-assembly-for-iphone-12-12-pro-aftermarket-pro-xo7-soft" TargetMode="External"/><Relationship Id="rId53" Type="http://schemas.openxmlformats.org/officeDocument/2006/relationships/hyperlink" Target="https://www.mobilesentrix.ca/lcd-assembly-with-steel-plate-pre-installed-replacement-for-iphone-11-aftermarket-aq7" TargetMode="External"/><Relationship Id="rId58" Type="http://schemas.openxmlformats.org/officeDocument/2006/relationships/hyperlink" Target="https://www.mobilesentrix.ca/lcd-assembly-for-iphone-x-s-aftermarket-plus-quality" TargetMode="External"/><Relationship Id="rId66" Type="http://schemas.openxmlformats.org/officeDocument/2006/relationships/hyperlink" Target="https://www.mobilesentrix.ca/lcd-assembly-compatible-for-iphone-7-plus-aftermarket-plus-quality-xo7-incell-white" TargetMode="External"/><Relationship Id="rId5" Type="http://schemas.openxmlformats.org/officeDocument/2006/relationships/hyperlink" Target="https://www.mobilesentrix.ca/lcd-assembly-for-iphone-17-aftermarket-aq7-incell-120hz" TargetMode="External"/><Relationship Id="rId61" Type="http://schemas.openxmlformats.org/officeDocument/2006/relationships/hyperlink" Target="https://www.mobilesentrix.ca/lcd-assembly-with-steel-plate-pre-installed-replacement-for-iphone-xr-aftermarket-aq7" TargetMode="External"/><Relationship Id="rId19" Type="http://schemas.openxmlformats.org/officeDocument/2006/relationships/hyperlink" Target="https://www.mobilesentrix.ca/oled-assembly-for-iphone-15-pro-max-aftermarket-pro-xo7-soft-120hz" TargetMode="External"/><Relationship Id="rId14" Type="http://schemas.openxmlformats.org/officeDocument/2006/relationships/hyperlink" Target="https://www.mobilesentrix.ca/lcd-assembly-compatible-for-iphone-16-aftermarket-aq7-incell" TargetMode="External"/><Relationship Id="rId22" Type="http://schemas.openxmlformats.org/officeDocument/2006/relationships/hyperlink" Target="https://www.mobilesentrix.ca/lcd-assembly-for-iphone-15-plus-aftermarket-aq7-incell" TargetMode="External"/><Relationship Id="rId27" Type="http://schemas.openxmlformats.org/officeDocument/2006/relationships/hyperlink" Target="https://www.mobilesentrix.ca/oled-assembly-for-iphone-14-pro-max-aftermarket-pro-xo7-soft" TargetMode="External"/><Relationship Id="rId30" Type="http://schemas.openxmlformats.org/officeDocument/2006/relationships/hyperlink" Target="https://www.mobilesentrix.ca/lcd-assembly-for-iphone-14-plus-aftermarket-aq7-incell" TargetMode="External"/><Relationship Id="rId35" Type="http://schemas.openxmlformats.org/officeDocument/2006/relationships/hyperlink" Target="https://www.mobilesentrix.ca/oled-assembly-for-iphone-13-pro-max-aftermarket-pro-xo7-soft-120hz" TargetMode="External"/><Relationship Id="rId43" Type="http://schemas.openxmlformats.org/officeDocument/2006/relationships/hyperlink" Target="https://www.mobilesentrix.ca/oled-assembly-for-iphone-12-pro-max-aftermarket-pro-xo7-soft" TargetMode="External"/><Relationship Id="rId48" Type="http://schemas.openxmlformats.org/officeDocument/2006/relationships/hyperlink" Target="https://www.mobilesentrix.ca/lcd-assembly-compatible-for-iphone-12-mini-aftermarket-aq7-incell" TargetMode="External"/><Relationship Id="rId56" Type="http://schemas.openxmlformats.org/officeDocument/2006/relationships/hyperlink" Target="https://www.mobilesentrix.ca/oled-assembly-for-iphone-xs-max-aftermarket-pro-xo7-soft" TargetMode="External"/><Relationship Id="rId64" Type="http://schemas.openxmlformats.org/officeDocument/2006/relationships/hyperlink" Target="https://www.mobilesentrix.ca/lcd-assembly-compatible-for-iphone-8-aftermarket-plus-quality-xo7-black" TargetMode="External"/><Relationship Id="rId69" Type="http://schemas.openxmlformats.org/officeDocument/2006/relationships/hyperlink" Target="https://www.mobilesentrix.ca/lcd-assembly-with-steel-plate-replacement-for-iphone-6s-aftermarket-aq7-black" TargetMode="External"/><Relationship Id="rId8" Type="http://schemas.openxmlformats.org/officeDocument/2006/relationships/hyperlink" Target="https://www.mobilesentrix.ca/lcd-assembly-compatible-for-iphone-16-pro-max-aftermarket-aq7-incell-120hz" TargetMode="External"/><Relationship Id="rId51" Type="http://schemas.openxmlformats.org/officeDocument/2006/relationships/hyperlink" Target="https://www.mobilesentrix.ca/lcd-assembly-replacement-for-iphone-11-pro-aftermarket-aq7-incell" TargetMode="External"/><Relationship Id="rId72" Type="http://schemas.openxmlformats.org/officeDocument/2006/relationships/hyperlink" Target="https://www.mobilesentrix.ca/lcd-assembly-compatible-for-iphone-6-aftermarket-plus-quality-xo7-incell-white" TargetMode="External"/><Relationship Id="rId3" Type="http://schemas.openxmlformats.org/officeDocument/2006/relationships/hyperlink" Target="https://www.mobilesentrix.ca/lcd-assembly-for-iphone-17-pro-aftermarket-aq7-incell-120hz" TargetMode="External"/><Relationship Id="rId12" Type="http://schemas.openxmlformats.org/officeDocument/2006/relationships/hyperlink" Target="https://www.mobilesentrix.ca/lcd-assembly-compatible-for-iphone-16-plus-aftermarket-aq7-incell" TargetMode="External"/><Relationship Id="rId17" Type="http://schemas.openxmlformats.org/officeDocument/2006/relationships/hyperlink" Target="https://www.mobilesentrix.ca/oled-assembly-compatible-for-iphone-17e-16e-aftermarket-pro-xo7-soft" TargetMode="External"/><Relationship Id="rId25" Type="http://schemas.openxmlformats.org/officeDocument/2006/relationships/hyperlink" Target="https://www.mobilesentrix.ca/oled-assembly-for-iphone-15-aftermarket-pro-xo7-soft" TargetMode="External"/><Relationship Id="rId33" Type="http://schemas.openxmlformats.org/officeDocument/2006/relationships/hyperlink" Target="https://www.mobilesentrix.ca/oled-assembly-for-iphone-14-aftermarket-pro-xo7-soft" TargetMode="External"/><Relationship Id="rId38" Type="http://schemas.openxmlformats.org/officeDocument/2006/relationships/hyperlink" Target="https://www.mobilesentrix.ca/lcd-assembly-for-iphone-13-aftermarket-aq7-incell" TargetMode="External"/><Relationship Id="rId46" Type="http://schemas.openxmlformats.org/officeDocument/2006/relationships/hyperlink" Target="https://www.mobilesentrix.ca/lcd-assembly-for-iphone-12-12-pro-aftermarket-incell" TargetMode="External"/><Relationship Id="rId59" Type="http://schemas.openxmlformats.org/officeDocument/2006/relationships/hyperlink" Target="https://www.mobilesentrix.ca/lcd-assembly-replacement-for-iphone-x-aftermarket-aq7-incell" TargetMode="External"/><Relationship Id="rId67" Type="http://schemas.openxmlformats.org/officeDocument/2006/relationships/hyperlink" Target="https://www.mobilesentrix.ca/lcd-assembly-compatible-for-iphone-7-aftermarket-plus-quality-xo7-black" TargetMode="External"/><Relationship Id="rId20" Type="http://schemas.openxmlformats.org/officeDocument/2006/relationships/hyperlink" Target="https://www.mobilesentrix.ca/lcd-assembly-compatible-for-iphone-15-pro-aftermarket-aq7-incell-120hz" TargetMode="External"/><Relationship Id="rId41" Type="http://schemas.openxmlformats.org/officeDocument/2006/relationships/hyperlink" Target="https://www.mobilesentrix.ca/oled-assembly-for-iphone-13-mini-aftermarket-pro-xo7-soft" TargetMode="External"/><Relationship Id="rId54" Type="http://schemas.openxmlformats.org/officeDocument/2006/relationships/hyperlink" Target="https://www.mobilesentrix.ca/lcd-assembly-compatible-for-iphone-11-aftermarket-plus-quality-xo7-cof-incell" TargetMode="External"/><Relationship Id="rId62" Type="http://schemas.openxmlformats.org/officeDocument/2006/relationships/hyperlink" Target="https://www.mobilesentrix.ca/oled-assembly-compatible-for-iphone-xr-aftermarket-plus-quality-xo7-cof-incell" TargetMode="External"/><Relationship Id="rId70" Type="http://schemas.openxmlformats.org/officeDocument/2006/relationships/hyperlink" Target="https://www.mobilesentrix.ca/lcd-assembly-compatible-for-iphone-6s-aftermarket-plus-quality-xo7-white" TargetMode="External"/><Relationship Id="rId1" Type="http://schemas.openxmlformats.org/officeDocument/2006/relationships/hyperlink" Target="https://www.mobilesentrix.ca/lcd-assembly-for-iphone-17-pro-max-aftermarket-aq7-incell-120hz" TargetMode="External"/><Relationship Id="rId6" Type="http://schemas.openxmlformats.org/officeDocument/2006/relationships/hyperlink" Target="https://www.mobilesentrix.ca/oled-assembly-compatible-for-iphone-17-aftermarket-pro-xo7-soft-120hz" TargetMode="External"/><Relationship Id="rId15" Type="http://schemas.openxmlformats.org/officeDocument/2006/relationships/hyperlink" Target="https://www.mobilesentrix.ca/oled-assembly-compatible-for-iphone-16-aftermarket-pro-xo7-soft" TargetMode="External"/><Relationship Id="rId23" Type="http://schemas.openxmlformats.org/officeDocument/2006/relationships/hyperlink" Target="https://www.mobilesentrix.ca/oled-assembly-for-iphone-15-plus-aftermarket-pro-xo7-soft" TargetMode="External"/><Relationship Id="rId28" Type="http://schemas.openxmlformats.org/officeDocument/2006/relationships/hyperlink" Target="https://www.mobilesentrix.ca/lcd-assembly-compatible-for-iphone-14-pro-aftermarket-aq7-incell-120hz" TargetMode="External"/><Relationship Id="rId36" Type="http://schemas.openxmlformats.org/officeDocument/2006/relationships/hyperlink" Target="https://www.mobilesentrix.ca/lcd-assembly-compatible-for-iphone-13-pro-aftermarket-aq7-incell-120hz" TargetMode="External"/><Relationship Id="rId49" Type="http://schemas.openxmlformats.org/officeDocument/2006/relationships/hyperlink" Target="https://www.mobilesentrix.ca/lcd-assembly-replacement-for-iphone-11-pro-max-aftermarket-aq7-incell" TargetMode="External"/><Relationship Id="rId57" Type="http://schemas.openxmlformats.org/officeDocument/2006/relationships/hyperlink" Target="https://www.mobilesentrix.ca/lcd-assembly-replacement-for-iphone-xs-aftermarket-aq7-incell" TargetMode="External"/><Relationship Id="rId10" Type="http://schemas.openxmlformats.org/officeDocument/2006/relationships/hyperlink" Target="https://www.mobilesentrix.ca/lcd-assembly-compatible-for-iphone-16-pro-aftermarket-aq7-incell-120hz" TargetMode="External"/><Relationship Id="rId31" Type="http://schemas.openxmlformats.org/officeDocument/2006/relationships/hyperlink" Target="https://www.mobilesentrix.ca/oled-assembly-for-iphone-14-plus-aftermarket-pro-xo7-soft" TargetMode="External"/><Relationship Id="rId44" Type="http://schemas.openxmlformats.org/officeDocument/2006/relationships/hyperlink" Target="https://www.mobilesentrix.ca/lcd-assembly-for-iphone-12-12-pro-aftermarket-incell" TargetMode="External"/><Relationship Id="rId52" Type="http://schemas.openxmlformats.org/officeDocument/2006/relationships/hyperlink" Target="https://www.mobilesentrix.ca/oled-assembly-compatible-for-iphone-11-pro-aftermarket-plus-quality-boe-soft" TargetMode="External"/><Relationship Id="rId60" Type="http://schemas.openxmlformats.org/officeDocument/2006/relationships/hyperlink" Target="https://www.mobilesentrix.ca/lcd-assembly-for-iphone-x-aftermarket-plus-quality" TargetMode="External"/><Relationship Id="rId65" Type="http://schemas.openxmlformats.org/officeDocument/2006/relationships/hyperlink" Target="https://www.mobilesentrix.ca/lcd-assembly-compatible-for-iphone-8-aftermarket-plus-quality-xo7-black" TargetMode="External"/><Relationship Id="rId4" Type="http://schemas.openxmlformats.org/officeDocument/2006/relationships/hyperlink" Target="https://www.mobilesentrix.ca/oled-assembly-compatible-for-iphone-17-pro-aftermarket-pro-xo7-soft-120hz" TargetMode="External"/><Relationship Id="rId9" Type="http://schemas.openxmlformats.org/officeDocument/2006/relationships/hyperlink" Target="https://www.mobilesentrix.ca/oled-assembly-compatible-for-iphone-16-pro-max-aftermarket-pro-xo7-soft" TargetMode="External"/><Relationship Id="rId13" Type="http://schemas.openxmlformats.org/officeDocument/2006/relationships/hyperlink" Target="https://www.mobilesentrix.ca/oled-assembly-compatible-for-iphone-16-plus-aftermarket-pro-xo7-soft" TargetMode="External"/><Relationship Id="rId18" Type="http://schemas.openxmlformats.org/officeDocument/2006/relationships/hyperlink" Target="https://www.mobilesentrix.ca/lcd-assembly-compatible-for-iphone-15-pro-max-aftermarket-aq7-incell-120hz" TargetMode="External"/><Relationship Id="rId39" Type="http://schemas.openxmlformats.org/officeDocument/2006/relationships/hyperlink" Target="https://www.mobilesentrix.ca/oled-assembly-for-iphone-13-aftermarket-pro-xo7-soft" TargetMode="External"/><Relationship Id="rId34" Type="http://schemas.openxmlformats.org/officeDocument/2006/relationships/hyperlink" Target="https://www.mobilesentrix.ca/lcd-assembly-compatible-for-iphone-13-pro-max-aftermarket-aq7-incell-120hz" TargetMode="External"/><Relationship Id="rId50" Type="http://schemas.openxmlformats.org/officeDocument/2006/relationships/hyperlink" Target="https://www.mobilesentrix.ca/oled-assembly-for-iphone-11-pro-max-aftermarket-pro-xo7-soft" TargetMode="External"/><Relationship Id="rId55" Type="http://schemas.openxmlformats.org/officeDocument/2006/relationships/hyperlink" Target="https://www.mobilesentrix.ca/lcd-assembly-for-iphone-xs-max-aftermarket-pro-aq7-ince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 x14ac:dyDescent="0.2"/>
  <cols>
    <col min="1" max="1" width="14" customWidth="1"/>
    <col min="2" max="2" width="10.85546875" customWidth="1"/>
    <col min="3" max="3" width="11.42578125" customWidth="1"/>
    <col min="4" max="4" width="9.28515625" customWidth="1"/>
    <col min="5" max="5" width="11" customWidth="1"/>
    <col min="6" max="6" width="6" customWidth="1"/>
    <col min="7" max="7" width="11.42578125" customWidth="1"/>
    <col min="8" max="10" width="9.42578125" customWidth="1"/>
    <col min="11" max="11" width="13.5703125" customWidth="1"/>
    <col min="12" max="12" width="15.140625" customWidth="1"/>
    <col min="13" max="13" width="14.42578125" customWidth="1"/>
    <col min="14" max="14" width="12.5703125" customWidth="1"/>
    <col min="15" max="15" width="17.42578125" customWidth="1"/>
    <col min="16" max="16" width="14.42578125" customWidth="1"/>
  </cols>
  <sheetData>
    <row r="1" spans="1:16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">
      <c r="A2" s="6" t="s">
        <v>16</v>
      </c>
      <c r="B2" s="7" t="s">
        <v>17</v>
      </c>
      <c r="C2" s="8" t="s">
        <v>18</v>
      </c>
      <c r="D2" s="9">
        <v>100</v>
      </c>
      <c r="E2" s="10" t="str">
        <f>IFERROR((#REF! - C2) /#REF!, "")</f>
        <v/>
      </c>
      <c r="F2" s="11" t="s">
        <v>19</v>
      </c>
      <c r="G2" s="8" t="s">
        <v>20</v>
      </c>
      <c r="H2" s="9">
        <v>160</v>
      </c>
      <c r="I2" s="12" t="str">
        <f>IFERROR((#REF! - G2) /#REF!, "")</f>
        <v/>
      </c>
      <c r="J2" s="13">
        <v>659</v>
      </c>
      <c r="K2" s="14" t="s">
        <v>21</v>
      </c>
      <c r="L2" s="15">
        <v>179</v>
      </c>
      <c r="M2" s="15">
        <v>199</v>
      </c>
      <c r="N2" s="16">
        <v>149</v>
      </c>
      <c r="O2" s="17" t="s">
        <v>22</v>
      </c>
      <c r="P2" s="17" t="s">
        <v>23</v>
      </c>
    </row>
    <row r="3" spans="1:16" x14ac:dyDescent="0.2">
      <c r="A3" s="6" t="s">
        <v>24</v>
      </c>
      <c r="B3" s="7" t="s">
        <v>25</v>
      </c>
      <c r="C3" s="8" t="s">
        <v>18</v>
      </c>
      <c r="D3" s="9">
        <v>100</v>
      </c>
      <c r="E3" s="10" t="str">
        <f>IFERROR((#REF! - C3) /#REF!, "")</f>
        <v/>
      </c>
      <c r="F3" s="11" t="s">
        <v>26</v>
      </c>
      <c r="G3" s="8" t="s">
        <v>27</v>
      </c>
      <c r="H3" s="9">
        <v>160</v>
      </c>
      <c r="I3" s="12" t="str">
        <f>IFERROR((#REF! - G3) /#REF!, "")</f>
        <v/>
      </c>
      <c r="J3" s="13">
        <v>579</v>
      </c>
      <c r="K3" s="14" t="s">
        <v>21</v>
      </c>
      <c r="L3" s="15">
        <v>179</v>
      </c>
      <c r="M3" s="15">
        <v>199</v>
      </c>
      <c r="N3" s="16">
        <v>149</v>
      </c>
      <c r="O3" s="17" t="s">
        <v>22</v>
      </c>
      <c r="P3" s="17" t="s">
        <v>23</v>
      </c>
    </row>
    <row r="4" spans="1:16" x14ac:dyDescent="0.2">
      <c r="A4" s="6" t="s">
        <v>28</v>
      </c>
      <c r="B4" s="7" t="s">
        <v>29</v>
      </c>
      <c r="C4" s="8" t="s">
        <v>18</v>
      </c>
      <c r="D4" s="9">
        <v>100</v>
      </c>
      <c r="E4" s="10" t="str">
        <f>IFERROR((#REF! - C4) /#REF!, "")</f>
        <v/>
      </c>
      <c r="F4" s="11" t="s">
        <v>30</v>
      </c>
      <c r="G4" s="8" t="s">
        <v>31</v>
      </c>
      <c r="H4" s="9">
        <v>150</v>
      </c>
      <c r="I4" s="12" t="str">
        <f>IFERROR((#REF! - G4) /#REF!, "")</f>
        <v/>
      </c>
      <c r="J4" s="13">
        <v>559</v>
      </c>
      <c r="K4" s="14" t="s">
        <v>21</v>
      </c>
      <c r="L4" s="15">
        <v>179</v>
      </c>
      <c r="M4" s="15">
        <v>199</v>
      </c>
      <c r="N4" s="16">
        <v>149</v>
      </c>
      <c r="O4" s="17" t="s">
        <v>22</v>
      </c>
      <c r="P4" s="17" t="s">
        <v>23</v>
      </c>
    </row>
    <row r="5" spans="1:16" x14ac:dyDescent="0.2">
      <c r="A5" s="6" t="s">
        <v>32</v>
      </c>
      <c r="B5" s="18" t="s">
        <v>33</v>
      </c>
      <c r="C5" s="19" t="s">
        <v>34</v>
      </c>
      <c r="D5" s="9">
        <v>110</v>
      </c>
      <c r="E5" s="10" t="str">
        <f>IFERROR((#REF! - C5) /#REF!, "")</f>
        <v/>
      </c>
      <c r="F5" s="11" t="s">
        <v>35</v>
      </c>
      <c r="G5" s="8" t="s">
        <v>36</v>
      </c>
      <c r="H5" s="9">
        <v>150</v>
      </c>
      <c r="I5" s="12" t="str">
        <f>IFERROR((#REF! - G5) /#REF!, "")</f>
        <v/>
      </c>
      <c r="J5" s="13">
        <v>569</v>
      </c>
      <c r="K5" s="14" t="s">
        <v>21</v>
      </c>
      <c r="L5" s="15">
        <v>179</v>
      </c>
      <c r="M5" s="15">
        <v>199</v>
      </c>
      <c r="N5" s="16" t="s">
        <v>21</v>
      </c>
      <c r="O5" s="17" t="s">
        <v>22</v>
      </c>
      <c r="P5" s="17" t="s">
        <v>23</v>
      </c>
    </row>
    <row r="6" spans="1:16" x14ac:dyDescent="0.2">
      <c r="A6" s="6" t="s">
        <v>37</v>
      </c>
      <c r="B6" s="7" t="s">
        <v>38</v>
      </c>
      <c r="C6" s="8" t="s">
        <v>39</v>
      </c>
      <c r="D6" s="9">
        <v>100</v>
      </c>
      <c r="E6" s="10" t="str">
        <f>IFERROR((#REF! - C6) /#REF!, "")</f>
        <v/>
      </c>
      <c r="F6" s="11" t="s">
        <v>40</v>
      </c>
      <c r="G6" s="8" t="s">
        <v>41</v>
      </c>
      <c r="H6" s="9">
        <v>150</v>
      </c>
      <c r="I6" s="12" t="str">
        <f>IFERROR((#REF! - G6) /#REF!, "")</f>
        <v/>
      </c>
      <c r="J6" s="13">
        <v>649</v>
      </c>
      <c r="K6" s="20">
        <v>149</v>
      </c>
      <c r="L6" s="15">
        <v>169</v>
      </c>
      <c r="M6" s="15">
        <v>159</v>
      </c>
      <c r="N6" s="16">
        <v>149</v>
      </c>
      <c r="O6" s="17" t="s">
        <v>22</v>
      </c>
      <c r="P6" s="17" t="s">
        <v>23</v>
      </c>
    </row>
    <row r="7" spans="1:16" x14ac:dyDescent="0.2">
      <c r="A7" s="6" t="s">
        <v>42</v>
      </c>
      <c r="B7" s="7" t="s">
        <v>43</v>
      </c>
      <c r="C7" s="8" t="s">
        <v>44</v>
      </c>
      <c r="D7" s="9">
        <v>100</v>
      </c>
      <c r="E7" s="10" t="str">
        <f>IFERROR((#REF! - C7) /#REF!, "")</f>
        <v/>
      </c>
      <c r="F7" s="11" t="s">
        <v>45</v>
      </c>
      <c r="G7" s="8" t="s">
        <v>46</v>
      </c>
      <c r="H7" s="9">
        <v>150</v>
      </c>
      <c r="I7" s="12" t="str">
        <f>IFERROR((#REF! - G7) /#REF!, "")</f>
        <v/>
      </c>
      <c r="J7" s="13">
        <v>549</v>
      </c>
      <c r="K7" s="20">
        <v>149</v>
      </c>
      <c r="L7" s="15">
        <v>169</v>
      </c>
      <c r="M7" s="15">
        <v>159</v>
      </c>
      <c r="N7" s="16">
        <v>149</v>
      </c>
      <c r="O7" s="17" t="s">
        <v>22</v>
      </c>
      <c r="P7" s="17" t="s">
        <v>23</v>
      </c>
    </row>
    <row r="8" spans="1:16" x14ac:dyDescent="0.2">
      <c r="A8" s="6" t="s">
        <v>47</v>
      </c>
      <c r="B8" s="7" t="s">
        <v>48</v>
      </c>
      <c r="C8" s="8" t="s">
        <v>49</v>
      </c>
      <c r="D8" s="9">
        <v>100</v>
      </c>
      <c r="E8" s="10" t="str">
        <f>IFERROR((#REF! - C8) /#REF!, "")</f>
        <v/>
      </c>
      <c r="F8" s="11" t="s">
        <v>50</v>
      </c>
      <c r="G8" s="8" t="s">
        <v>51</v>
      </c>
      <c r="H8" s="9">
        <v>140</v>
      </c>
      <c r="I8" s="12" t="str">
        <f>IFERROR((#REF! - G8) /#REF!, "")</f>
        <v/>
      </c>
      <c r="J8" s="13">
        <v>549</v>
      </c>
      <c r="K8" s="20">
        <v>139</v>
      </c>
      <c r="L8" s="15">
        <v>159</v>
      </c>
      <c r="M8" s="15">
        <v>159</v>
      </c>
      <c r="N8" s="16">
        <v>149</v>
      </c>
      <c r="O8" s="17" t="s">
        <v>22</v>
      </c>
      <c r="P8" s="17" t="s">
        <v>23</v>
      </c>
    </row>
    <row r="9" spans="1:16" x14ac:dyDescent="0.2">
      <c r="A9" s="6" t="s">
        <v>52</v>
      </c>
      <c r="B9" s="7" t="s">
        <v>53</v>
      </c>
      <c r="C9" s="8" t="s">
        <v>54</v>
      </c>
      <c r="D9" s="9">
        <v>100</v>
      </c>
      <c r="E9" s="10" t="str">
        <f>IFERROR((#REF! - C9) /#REF!, "")</f>
        <v/>
      </c>
      <c r="F9" s="11" t="s">
        <v>55</v>
      </c>
      <c r="G9" s="8" t="s">
        <v>56</v>
      </c>
      <c r="H9" s="9">
        <v>140</v>
      </c>
      <c r="I9" s="12" t="str">
        <f>IFERROR((#REF! - G9) /#REF!, "")</f>
        <v/>
      </c>
      <c r="J9" s="13">
        <v>449</v>
      </c>
      <c r="K9" s="20">
        <v>139</v>
      </c>
      <c r="L9" s="15">
        <v>159</v>
      </c>
      <c r="M9" s="15">
        <v>159</v>
      </c>
      <c r="N9" s="16">
        <v>149</v>
      </c>
      <c r="O9" s="17" t="s">
        <v>22</v>
      </c>
      <c r="P9" s="17" t="s">
        <v>23</v>
      </c>
    </row>
    <row r="10" spans="1:16" x14ac:dyDescent="0.2">
      <c r="A10" s="6" t="s">
        <v>57</v>
      </c>
      <c r="B10" s="7" t="s">
        <v>58</v>
      </c>
      <c r="C10" s="8" t="s">
        <v>59</v>
      </c>
      <c r="D10" s="9">
        <v>100</v>
      </c>
      <c r="E10" s="10" t="str">
        <f>IFERROR((#REF! - C10) /#REF!, "")</f>
        <v/>
      </c>
      <c r="F10" s="11" t="s">
        <v>60</v>
      </c>
      <c r="G10" s="8" t="s">
        <v>61</v>
      </c>
      <c r="H10" s="9">
        <v>130</v>
      </c>
      <c r="I10" s="12" t="str">
        <f>IFERROR((#REF! - G10) /#REF!, "")</f>
        <v/>
      </c>
      <c r="J10" s="13">
        <v>419</v>
      </c>
      <c r="K10" s="20">
        <v>139</v>
      </c>
      <c r="L10" s="15">
        <v>159</v>
      </c>
      <c r="M10" s="15">
        <v>159</v>
      </c>
      <c r="N10" s="16">
        <v>149</v>
      </c>
      <c r="O10" s="17" t="s">
        <v>22</v>
      </c>
      <c r="P10" s="17" t="s">
        <v>23</v>
      </c>
    </row>
    <row r="11" spans="1:16" x14ac:dyDescent="0.2">
      <c r="A11" s="6" t="s">
        <v>62</v>
      </c>
      <c r="B11" s="7" t="s">
        <v>63</v>
      </c>
      <c r="C11" s="8" t="s">
        <v>64</v>
      </c>
      <c r="D11" s="9">
        <v>100</v>
      </c>
      <c r="E11" s="10" t="str">
        <f>IFERROR((#REF! - C11) /#REF!, "")</f>
        <v/>
      </c>
      <c r="F11" s="11" t="s">
        <v>65</v>
      </c>
      <c r="G11" s="8" t="s">
        <v>66</v>
      </c>
      <c r="H11" s="9">
        <v>130</v>
      </c>
      <c r="I11" s="12" t="str">
        <f>IFERROR((#REF! - G11) /#REF!, "")</f>
        <v/>
      </c>
      <c r="J11" s="13">
        <v>549</v>
      </c>
      <c r="K11" s="16">
        <v>129</v>
      </c>
      <c r="L11" s="15">
        <v>159</v>
      </c>
      <c r="M11" s="15">
        <v>149</v>
      </c>
      <c r="N11" s="16">
        <v>139</v>
      </c>
      <c r="O11" s="17" t="s">
        <v>22</v>
      </c>
      <c r="P11" s="17" t="s">
        <v>23</v>
      </c>
    </row>
    <row r="12" spans="1:16" x14ac:dyDescent="0.2">
      <c r="A12" s="6" t="s">
        <v>67</v>
      </c>
      <c r="B12" s="7" t="s">
        <v>68</v>
      </c>
      <c r="C12" s="8" t="s">
        <v>69</v>
      </c>
      <c r="D12" s="9">
        <v>100</v>
      </c>
      <c r="E12" s="10" t="str">
        <f>IFERROR((#REF! - C12) /#REF!, "")</f>
        <v/>
      </c>
      <c r="F12" s="11" t="s">
        <v>70</v>
      </c>
      <c r="G12" s="8" t="s">
        <v>71</v>
      </c>
      <c r="H12" s="9">
        <v>130</v>
      </c>
      <c r="I12" s="12" t="str">
        <f>IFERROR((#REF! - G12) /#REF!, "")</f>
        <v/>
      </c>
      <c r="J12" s="13">
        <v>529</v>
      </c>
      <c r="K12" s="16">
        <v>129</v>
      </c>
      <c r="L12" s="15">
        <v>159</v>
      </c>
      <c r="M12" s="15">
        <v>149</v>
      </c>
      <c r="N12" s="16">
        <v>129</v>
      </c>
      <c r="O12" s="17" t="s">
        <v>22</v>
      </c>
      <c r="P12" s="17" t="s">
        <v>23</v>
      </c>
    </row>
    <row r="13" spans="1:16" x14ac:dyDescent="0.2">
      <c r="A13" s="6" t="s">
        <v>72</v>
      </c>
      <c r="B13" s="7" t="s">
        <v>73</v>
      </c>
      <c r="C13" s="8" t="s">
        <v>74</v>
      </c>
      <c r="D13" s="9">
        <v>100</v>
      </c>
      <c r="E13" s="10" t="str">
        <f>IFERROR((#REF! - C13) /#REF!, "")</f>
        <v/>
      </c>
      <c r="F13" s="11" t="s">
        <v>75</v>
      </c>
      <c r="G13" s="8" t="s">
        <v>76</v>
      </c>
      <c r="H13" s="9">
        <v>130</v>
      </c>
      <c r="I13" s="12" t="str">
        <f>IFERROR((#REF! - G13) /#REF!, "")</f>
        <v/>
      </c>
      <c r="J13" s="13">
        <v>499</v>
      </c>
      <c r="K13" s="16">
        <v>129</v>
      </c>
      <c r="L13" s="15">
        <v>159</v>
      </c>
      <c r="M13" s="15">
        <v>139</v>
      </c>
      <c r="N13" s="16">
        <v>99</v>
      </c>
      <c r="O13" s="17" t="s">
        <v>22</v>
      </c>
      <c r="P13" s="17" t="s">
        <v>23</v>
      </c>
    </row>
    <row r="14" spans="1:16" x14ac:dyDescent="0.2">
      <c r="A14" s="6" t="s">
        <v>77</v>
      </c>
      <c r="B14" s="7" t="s">
        <v>78</v>
      </c>
      <c r="C14" s="8" t="s">
        <v>79</v>
      </c>
      <c r="D14" s="9">
        <v>70</v>
      </c>
      <c r="E14" s="10" t="str">
        <f>IFERROR((#REF! - C14) /#REF!, "")</f>
        <v/>
      </c>
      <c r="F14" s="11" t="s">
        <v>80</v>
      </c>
      <c r="G14" s="8" t="s">
        <v>71</v>
      </c>
      <c r="H14" s="9">
        <v>120</v>
      </c>
      <c r="I14" s="12" t="str">
        <f>IFERROR((#REF! - G14) /#REF!, "")</f>
        <v/>
      </c>
      <c r="J14" s="13">
        <v>469</v>
      </c>
      <c r="K14" s="16">
        <v>129</v>
      </c>
      <c r="L14" s="15">
        <v>159</v>
      </c>
      <c r="M14" s="15">
        <v>139</v>
      </c>
      <c r="N14" s="16">
        <v>99</v>
      </c>
      <c r="O14" s="17" t="s">
        <v>22</v>
      </c>
      <c r="P14" s="17" t="s">
        <v>23</v>
      </c>
    </row>
    <row r="15" spans="1:16" x14ac:dyDescent="0.2">
      <c r="A15" s="6" t="s">
        <v>81</v>
      </c>
      <c r="B15" s="7" t="s">
        <v>82</v>
      </c>
      <c r="C15" s="8" t="s">
        <v>83</v>
      </c>
      <c r="D15" s="9">
        <v>100</v>
      </c>
      <c r="E15" s="10" t="str">
        <f>IFERROR((#REF! - C15) /#REF!, "")</f>
        <v/>
      </c>
      <c r="F15" s="11" t="s">
        <v>84</v>
      </c>
      <c r="G15" s="8" t="s">
        <v>85</v>
      </c>
      <c r="H15" s="9">
        <v>120</v>
      </c>
      <c r="I15" s="12" t="str">
        <f>IFERROR((#REF! - G15) /#REF!, "")</f>
        <v/>
      </c>
      <c r="J15" s="13">
        <v>499</v>
      </c>
      <c r="K15" s="16">
        <v>119</v>
      </c>
      <c r="L15" s="15">
        <v>149</v>
      </c>
      <c r="M15" s="15">
        <v>139</v>
      </c>
      <c r="N15" s="16">
        <v>99</v>
      </c>
      <c r="O15" s="17" t="s">
        <v>22</v>
      </c>
      <c r="P15" s="17" t="s">
        <v>23</v>
      </c>
    </row>
    <row r="16" spans="1:16" x14ac:dyDescent="0.2">
      <c r="A16" s="6" t="s">
        <v>86</v>
      </c>
      <c r="B16" s="7" t="s">
        <v>87</v>
      </c>
      <c r="C16" s="8" t="s">
        <v>88</v>
      </c>
      <c r="D16" s="9">
        <v>100</v>
      </c>
      <c r="E16" s="10" t="str">
        <f>IFERROR((#REF! - C16) /#REF!, "")</f>
        <v/>
      </c>
      <c r="F16" s="11" t="s">
        <v>89</v>
      </c>
      <c r="G16" s="8" t="s">
        <v>90</v>
      </c>
      <c r="H16" s="9">
        <v>120</v>
      </c>
      <c r="I16" s="12" t="str">
        <f>IFERROR((#REF! - G16) /#REF!, "")</f>
        <v/>
      </c>
      <c r="J16" s="13">
        <v>449</v>
      </c>
      <c r="K16" s="16">
        <v>119</v>
      </c>
      <c r="L16" s="15">
        <v>149</v>
      </c>
      <c r="M16" s="15">
        <v>139</v>
      </c>
      <c r="N16" s="16">
        <v>99</v>
      </c>
      <c r="O16" s="17" t="s">
        <v>22</v>
      </c>
      <c r="P16" s="17" t="s">
        <v>23</v>
      </c>
    </row>
    <row r="17" spans="1:16" x14ac:dyDescent="0.2">
      <c r="A17" s="6" t="s">
        <v>91</v>
      </c>
      <c r="B17" s="7" t="s">
        <v>92</v>
      </c>
      <c r="C17" s="8" t="s">
        <v>93</v>
      </c>
      <c r="D17" s="9">
        <v>70</v>
      </c>
      <c r="E17" s="10" t="str">
        <f>IFERROR((#REF! - C17) /#REF!, "")</f>
        <v/>
      </c>
      <c r="F17" s="11" t="s">
        <v>94</v>
      </c>
      <c r="G17" s="8" t="s">
        <v>95</v>
      </c>
      <c r="H17" s="9">
        <v>120</v>
      </c>
      <c r="I17" s="12" t="str">
        <f>IFERROR((#REF! - G17) /#REF!, "")</f>
        <v/>
      </c>
      <c r="J17" s="13">
        <v>449</v>
      </c>
      <c r="K17" s="16">
        <v>119</v>
      </c>
      <c r="L17" s="15">
        <v>149</v>
      </c>
      <c r="M17" s="15">
        <v>129</v>
      </c>
      <c r="N17" s="16">
        <v>99</v>
      </c>
      <c r="O17" s="17" t="s">
        <v>22</v>
      </c>
      <c r="P17" s="17" t="s">
        <v>23</v>
      </c>
    </row>
    <row r="18" spans="1:16" x14ac:dyDescent="0.2">
      <c r="A18" s="6" t="s">
        <v>96</v>
      </c>
      <c r="B18" s="7" t="s">
        <v>97</v>
      </c>
      <c r="C18" s="8" t="s">
        <v>98</v>
      </c>
      <c r="D18" s="9">
        <v>70</v>
      </c>
      <c r="E18" s="10" t="str">
        <f>IFERROR((#REF! - C18) /#REF!, "")</f>
        <v/>
      </c>
      <c r="F18" s="11" t="s">
        <v>99</v>
      </c>
      <c r="G18" s="8" t="s">
        <v>100</v>
      </c>
      <c r="H18" s="9">
        <v>110</v>
      </c>
      <c r="I18" s="12" t="str">
        <f>IFERROR((#REF! - G18) /#REF!, "")</f>
        <v/>
      </c>
      <c r="J18" s="13">
        <v>399</v>
      </c>
      <c r="K18" s="16">
        <v>119</v>
      </c>
      <c r="L18" s="15">
        <v>149</v>
      </c>
      <c r="M18" s="15">
        <v>129</v>
      </c>
      <c r="N18" s="16">
        <v>99</v>
      </c>
      <c r="O18" s="15" t="s">
        <v>22</v>
      </c>
      <c r="P18" s="17" t="s">
        <v>23</v>
      </c>
    </row>
    <row r="19" spans="1:16" x14ac:dyDescent="0.2">
      <c r="A19" s="6" t="s">
        <v>101</v>
      </c>
      <c r="B19" s="7" t="s">
        <v>102</v>
      </c>
      <c r="C19" s="8" t="s">
        <v>103</v>
      </c>
      <c r="D19" s="9">
        <v>70</v>
      </c>
      <c r="E19" s="10" t="str">
        <f>IFERROR((#REF! - C19) /#REF!, "")</f>
        <v/>
      </c>
      <c r="F19" s="11" t="s">
        <v>104</v>
      </c>
      <c r="G19" s="8" t="s">
        <v>95</v>
      </c>
      <c r="H19" s="9">
        <v>110</v>
      </c>
      <c r="I19" s="21" t="str">
        <f>IFERROR((#REF! - G19) /#REF!, "")</f>
        <v/>
      </c>
      <c r="J19" s="22" t="s">
        <v>21</v>
      </c>
      <c r="K19" s="16">
        <v>109</v>
      </c>
      <c r="L19" s="14" t="s">
        <v>21</v>
      </c>
      <c r="M19" s="15">
        <v>129</v>
      </c>
      <c r="N19" s="16">
        <v>99</v>
      </c>
      <c r="O19" s="17" t="s">
        <v>22</v>
      </c>
      <c r="P19" s="17" t="s">
        <v>23</v>
      </c>
    </row>
    <row r="20" spans="1:16" x14ac:dyDescent="0.2">
      <c r="A20" s="6" t="s">
        <v>105</v>
      </c>
      <c r="B20" s="7" t="s">
        <v>106</v>
      </c>
      <c r="C20" s="8" t="s">
        <v>107</v>
      </c>
      <c r="D20" s="9">
        <v>70</v>
      </c>
      <c r="E20" s="10" t="str">
        <f>IFERROR((#REF! - C20) /#REF!, "")</f>
        <v/>
      </c>
      <c r="F20" s="11" t="s">
        <v>108</v>
      </c>
      <c r="G20" s="8" t="s">
        <v>109</v>
      </c>
      <c r="H20" s="9">
        <v>110</v>
      </c>
      <c r="I20" s="21" t="str">
        <f>IFERROR((#REF! - G20) /#REF!, "")</f>
        <v/>
      </c>
      <c r="J20" s="22" t="s">
        <v>21</v>
      </c>
      <c r="K20" s="16">
        <v>109</v>
      </c>
      <c r="L20" s="14" t="s">
        <v>21</v>
      </c>
      <c r="M20" s="15">
        <v>129</v>
      </c>
      <c r="N20" s="16">
        <v>99</v>
      </c>
      <c r="O20" s="17" t="s">
        <v>22</v>
      </c>
      <c r="P20" s="17" t="s">
        <v>23</v>
      </c>
    </row>
    <row r="21" spans="1:16" x14ac:dyDescent="0.2">
      <c r="A21" s="6" t="s">
        <v>110</v>
      </c>
      <c r="B21" s="7" t="s">
        <v>111</v>
      </c>
      <c r="C21" s="8" t="s">
        <v>112</v>
      </c>
      <c r="D21" s="9">
        <v>70</v>
      </c>
      <c r="E21" s="10" t="str">
        <f>IFERROR((#REF! - C21) /#REF!, "")</f>
        <v/>
      </c>
      <c r="F21" s="11" t="s">
        <v>113</v>
      </c>
      <c r="G21" s="8" t="s">
        <v>100</v>
      </c>
      <c r="H21" s="9">
        <v>110</v>
      </c>
      <c r="I21" s="21" t="str">
        <f>IFERROR((#REF! - G21) /#REF!, "")</f>
        <v/>
      </c>
      <c r="J21" s="22" t="s">
        <v>21</v>
      </c>
      <c r="K21" s="16">
        <v>109</v>
      </c>
      <c r="L21" s="14" t="s">
        <v>21</v>
      </c>
      <c r="M21" s="15">
        <v>119</v>
      </c>
      <c r="N21" s="16">
        <v>99</v>
      </c>
      <c r="O21" s="17" t="s">
        <v>22</v>
      </c>
      <c r="P21" s="17" t="s">
        <v>23</v>
      </c>
    </row>
    <row r="22" spans="1:16" x14ac:dyDescent="0.2">
      <c r="A22" s="6" t="s">
        <v>114</v>
      </c>
      <c r="B22" s="7" t="s">
        <v>115</v>
      </c>
      <c r="C22" s="8" t="s">
        <v>116</v>
      </c>
      <c r="D22" s="9">
        <v>70</v>
      </c>
      <c r="E22" s="10" t="str">
        <f>IFERROR((#REF! - C22) /#REF!, "")</f>
        <v/>
      </c>
      <c r="F22" s="11" t="s">
        <v>117</v>
      </c>
      <c r="G22" s="9" t="s">
        <v>34</v>
      </c>
      <c r="H22" s="9">
        <v>110</v>
      </c>
      <c r="I22" s="21" t="str">
        <f>IFERROR((#REF! - G22) /#REF!, "")</f>
        <v/>
      </c>
      <c r="J22" s="22" t="s">
        <v>21</v>
      </c>
      <c r="K22" s="16">
        <v>109</v>
      </c>
      <c r="L22" s="14" t="s">
        <v>21</v>
      </c>
      <c r="M22" s="15">
        <v>119</v>
      </c>
      <c r="N22" s="16">
        <v>99</v>
      </c>
      <c r="O22" s="17" t="s">
        <v>22</v>
      </c>
      <c r="P22" s="17" t="s">
        <v>23</v>
      </c>
    </row>
    <row r="23" spans="1:16" x14ac:dyDescent="0.2">
      <c r="A23" s="6" t="s">
        <v>118</v>
      </c>
      <c r="B23" s="7" t="s">
        <v>119</v>
      </c>
      <c r="C23" s="8" t="s">
        <v>120</v>
      </c>
      <c r="D23" s="9">
        <v>70</v>
      </c>
      <c r="E23" s="10" t="str">
        <f>IFERROR((#REF! - C23) /#REF!, "")</f>
        <v/>
      </c>
      <c r="F23" s="11" t="s">
        <v>121</v>
      </c>
      <c r="G23" s="8" t="s">
        <v>122</v>
      </c>
      <c r="H23" s="9">
        <v>100</v>
      </c>
      <c r="I23" s="21" t="str">
        <f>IFERROR((#REF! - G23) /#REF!, "")</f>
        <v/>
      </c>
      <c r="J23" s="22" t="s">
        <v>21</v>
      </c>
      <c r="K23" s="16">
        <v>99</v>
      </c>
      <c r="L23" s="14" t="s">
        <v>21</v>
      </c>
      <c r="M23" s="15">
        <v>119</v>
      </c>
      <c r="N23" s="16">
        <v>99</v>
      </c>
      <c r="O23" s="17" t="s">
        <v>22</v>
      </c>
      <c r="P23" s="17" t="s">
        <v>23</v>
      </c>
    </row>
    <row r="24" spans="1:16" x14ac:dyDescent="0.2">
      <c r="A24" s="6" t="s">
        <v>123</v>
      </c>
      <c r="B24" s="7" t="s">
        <v>124</v>
      </c>
      <c r="C24" s="8" t="s">
        <v>125</v>
      </c>
      <c r="D24" s="9">
        <v>70</v>
      </c>
      <c r="E24" s="10" t="str">
        <f>IFERROR((#REF! - C24) /#REF!, "")</f>
        <v/>
      </c>
      <c r="F24" s="11" t="s">
        <v>126</v>
      </c>
      <c r="G24" s="8" t="s">
        <v>127</v>
      </c>
      <c r="H24" s="9">
        <v>100</v>
      </c>
      <c r="I24" s="21" t="str">
        <f>IFERROR((#REF! - G24) /#REF!, "")</f>
        <v/>
      </c>
      <c r="J24" s="22" t="s">
        <v>21</v>
      </c>
      <c r="K24" s="16">
        <v>99</v>
      </c>
      <c r="L24" s="14" t="s">
        <v>21</v>
      </c>
      <c r="M24" s="15">
        <v>119</v>
      </c>
      <c r="N24" s="16">
        <v>99</v>
      </c>
      <c r="O24" s="17" t="s">
        <v>22</v>
      </c>
      <c r="P24" s="17" t="s">
        <v>23</v>
      </c>
    </row>
    <row r="25" spans="1:16" x14ac:dyDescent="0.2">
      <c r="A25" s="6" t="s">
        <v>128</v>
      </c>
      <c r="B25" s="7" t="s">
        <v>124</v>
      </c>
      <c r="C25" s="8" t="s">
        <v>125</v>
      </c>
      <c r="D25" s="9">
        <v>70</v>
      </c>
      <c r="E25" s="10" t="str">
        <f>IFERROR((#REF! - C25) /#REF!, "")</f>
        <v/>
      </c>
      <c r="F25" s="11" t="s">
        <v>126</v>
      </c>
      <c r="G25" s="8" t="s">
        <v>127</v>
      </c>
      <c r="H25" s="9">
        <v>90</v>
      </c>
      <c r="I25" s="21" t="str">
        <f>IFERROR((#REF! - G25) /#REF!, "")</f>
        <v/>
      </c>
      <c r="J25" s="22" t="s">
        <v>21</v>
      </c>
      <c r="K25" s="16">
        <v>89</v>
      </c>
      <c r="L25" s="14" t="s">
        <v>21</v>
      </c>
      <c r="M25" s="15">
        <v>119</v>
      </c>
      <c r="N25" s="16">
        <v>99</v>
      </c>
      <c r="O25" s="17" t="s">
        <v>22</v>
      </c>
      <c r="P25" s="17" t="s">
        <v>23</v>
      </c>
    </row>
    <row r="26" spans="1:16" x14ac:dyDescent="0.2">
      <c r="A26" s="6" t="s">
        <v>129</v>
      </c>
      <c r="B26" s="7" t="s">
        <v>130</v>
      </c>
      <c r="C26" s="8" t="s">
        <v>131</v>
      </c>
      <c r="D26" s="9">
        <v>70</v>
      </c>
      <c r="E26" s="10" t="str">
        <f>IFERROR((#REF! - C26) /#REF!, "")</f>
        <v/>
      </c>
      <c r="F26" s="23"/>
      <c r="G26" s="9" t="s">
        <v>33</v>
      </c>
      <c r="H26" s="9">
        <v>1</v>
      </c>
      <c r="I26" s="21" t="str">
        <f>IFERROR((#REF! - G26) /#REF!, "")</f>
        <v/>
      </c>
      <c r="J26" s="22" t="s">
        <v>21</v>
      </c>
      <c r="K26" s="16">
        <v>89</v>
      </c>
      <c r="L26" s="14" t="s">
        <v>21</v>
      </c>
      <c r="M26" s="15">
        <v>119</v>
      </c>
      <c r="N26" s="16">
        <v>99</v>
      </c>
      <c r="O26" s="17" t="s">
        <v>22</v>
      </c>
      <c r="P26" s="17" t="s">
        <v>23</v>
      </c>
    </row>
    <row r="27" spans="1:16" x14ac:dyDescent="0.2">
      <c r="A27" s="6" t="s">
        <v>132</v>
      </c>
      <c r="B27" s="7" t="s">
        <v>133</v>
      </c>
      <c r="C27" s="8" t="s">
        <v>134</v>
      </c>
      <c r="D27" s="9">
        <v>70</v>
      </c>
      <c r="E27" s="10" t="str">
        <f>IFERROR((#REF! - C27) /#REF!, "")</f>
        <v/>
      </c>
      <c r="F27" s="11" t="s">
        <v>135</v>
      </c>
      <c r="G27" s="8" t="s">
        <v>136</v>
      </c>
      <c r="H27" s="9">
        <v>90</v>
      </c>
      <c r="I27" s="21" t="str">
        <f>IFERROR((#REF! - G27) /#REF!, "")</f>
        <v/>
      </c>
      <c r="J27" s="22" t="s">
        <v>21</v>
      </c>
      <c r="K27" s="16">
        <v>79</v>
      </c>
      <c r="L27" s="14" t="s">
        <v>21</v>
      </c>
      <c r="M27" s="15">
        <v>119</v>
      </c>
      <c r="N27" s="16">
        <v>99</v>
      </c>
      <c r="O27" s="17" t="s">
        <v>22</v>
      </c>
      <c r="P27" s="17" t="s">
        <v>23</v>
      </c>
    </row>
    <row r="28" spans="1:16" x14ac:dyDescent="0.2">
      <c r="A28" s="6" t="s">
        <v>137</v>
      </c>
      <c r="B28" s="7" t="s">
        <v>138</v>
      </c>
      <c r="C28" s="8" t="s">
        <v>139</v>
      </c>
      <c r="D28" s="9">
        <v>70</v>
      </c>
      <c r="E28" s="10" t="str">
        <f>IFERROR((#REF! - C28) /#REF!, "")</f>
        <v/>
      </c>
      <c r="F28" s="11" t="s">
        <v>140</v>
      </c>
      <c r="G28" s="8" t="s">
        <v>141</v>
      </c>
      <c r="H28" s="9">
        <v>90</v>
      </c>
      <c r="I28" s="21" t="str">
        <f>IFERROR((#REF! - G28) /#REF!, "")</f>
        <v/>
      </c>
      <c r="J28" s="22" t="s">
        <v>21</v>
      </c>
      <c r="K28" s="16">
        <v>79</v>
      </c>
      <c r="L28" s="14" t="s">
        <v>21</v>
      </c>
      <c r="M28" s="15">
        <v>119</v>
      </c>
      <c r="N28" s="16">
        <v>99</v>
      </c>
      <c r="O28" s="17" t="s">
        <v>22</v>
      </c>
      <c r="P28" s="17" t="s">
        <v>23</v>
      </c>
    </row>
    <row r="29" spans="1:16" x14ac:dyDescent="0.2">
      <c r="A29" s="6" t="s">
        <v>142</v>
      </c>
      <c r="B29" s="7" t="s">
        <v>143</v>
      </c>
      <c r="C29" s="8" t="s">
        <v>144</v>
      </c>
      <c r="D29" s="9">
        <v>70</v>
      </c>
      <c r="E29" s="10" t="str">
        <f>IFERROR((#REF! - C29) /#REF!, "")</f>
        <v/>
      </c>
      <c r="F29" s="11" t="s">
        <v>145</v>
      </c>
      <c r="G29" s="8" t="s">
        <v>146</v>
      </c>
      <c r="H29" s="9">
        <v>90</v>
      </c>
      <c r="I29" s="21" t="str">
        <f>IFERROR((#REF! - G29) /#REF!, "")</f>
        <v/>
      </c>
      <c r="J29" s="22" t="s">
        <v>21</v>
      </c>
      <c r="K29" s="16">
        <v>79</v>
      </c>
      <c r="L29" s="14" t="s">
        <v>21</v>
      </c>
      <c r="M29" s="15">
        <v>99</v>
      </c>
      <c r="N29" s="16">
        <v>89</v>
      </c>
      <c r="O29" s="17" t="s">
        <v>22</v>
      </c>
      <c r="P29" s="17" t="s">
        <v>23</v>
      </c>
    </row>
    <row r="30" spans="1:16" x14ac:dyDescent="0.2">
      <c r="A30" s="6" t="s">
        <v>147</v>
      </c>
      <c r="B30" s="7" t="s">
        <v>148</v>
      </c>
      <c r="C30" s="8" t="s">
        <v>149</v>
      </c>
      <c r="D30" s="9">
        <v>70</v>
      </c>
      <c r="E30" s="10" t="str">
        <f>IFERROR((#REF! - C30) /#REF!, "")</f>
        <v/>
      </c>
      <c r="F30" s="11" t="s">
        <v>150</v>
      </c>
      <c r="G30" s="8" t="s">
        <v>151</v>
      </c>
      <c r="H30" s="9">
        <v>90</v>
      </c>
      <c r="I30" s="21" t="str">
        <f>IFERROR((#REF! - G30) /#REF!, "")</f>
        <v/>
      </c>
      <c r="J30" s="22" t="s">
        <v>21</v>
      </c>
      <c r="K30" s="16">
        <v>79</v>
      </c>
      <c r="L30" s="14" t="s">
        <v>21</v>
      </c>
      <c r="M30" s="15">
        <v>99</v>
      </c>
      <c r="N30" s="16">
        <v>89</v>
      </c>
      <c r="O30" s="17" t="s">
        <v>22</v>
      </c>
      <c r="P30" s="17" t="s">
        <v>23</v>
      </c>
    </row>
    <row r="31" spans="1:16" x14ac:dyDescent="0.2">
      <c r="A31" s="6" t="s">
        <v>152</v>
      </c>
      <c r="B31" s="7" t="s">
        <v>153</v>
      </c>
      <c r="C31" s="8" t="s">
        <v>154</v>
      </c>
      <c r="D31" s="9">
        <v>70</v>
      </c>
      <c r="E31" s="10" t="str">
        <f>IFERROR((#REF! - C31) /#REF!, "")</f>
        <v/>
      </c>
      <c r="F31" s="11" t="s">
        <v>155</v>
      </c>
      <c r="G31" s="8" t="s">
        <v>156</v>
      </c>
      <c r="H31" s="9">
        <v>80</v>
      </c>
      <c r="I31" s="21" t="str">
        <f>IFERROR((#REF! - G31) /#REF!, "")</f>
        <v/>
      </c>
      <c r="J31" s="22" t="s">
        <v>21</v>
      </c>
      <c r="K31" s="16">
        <v>79</v>
      </c>
      <c r="L31" s="14" t="s">
        <v>21</v>
      </c>
      <c r="M31" s="15">
        <v>99</v>
      </c>
      <c r="N31" s="16">
        <v>89</v>
      </c>
      <c r="O31" s="17" t="s">
        <v>22</v>
      </c>
      <c r="P31" s="17" t="s">
        <v>23</v>
      </c>
    </row>
    <row r="32" spans="1:16" x14ac:dyDescent="0.2">
      <c r="A32" s="6" t="s">
        <v>157</v>
      </c>
      <c r="B32" s="7" t="s">
        <v>158</v>
      </c>
      <c r="C32" s="8" t="s">
        <v>154</v>
      </c>
      <c r="D32" s="9">
        <v>70</v>
      </c>
      <c r="E32" s="10" t="str">
        <f>IFERROR((#REF! - C32) /#REF!, "")</f>
        <v/>
      </c>
      <c r="F32" s="11" t="s">
        <v>159</v>
      </c>
      <c r="G32" s="8" t="s">
        <v>160</v>
      </c>
      <c r="H32" s="9">
        <v>80</v>
      </c>
      <c r="I32" s="21" t="str">
        <f>IFERROR((#REF! - G32) /#REF!, "")</f>
        <v/>
      </c>
      <c r="J32" s="22" t="s">
        <v>21</v>
      </c>
      <c r="K32" s="16">
        <v>79</v>
      </c>
      <c r="L32" s="14" t="s">
        <v>21</v>
      </c>
      <c r="M32" s="15">
        <v>99</v>
      </c>
      <c r="N32" s="16">
        <v>89</v>
      </c>
      <c r="O32" s="17" t="s">
        <v>22</v>
      </c>
      <c r="P32" s="17" t="s">
        <v>23</v>
      </c>
    </row>
    <row r="33" spans="1:16" x14ac:dyDescent="0.2">
      <c r="A33" s="6" t="s">
        <v>161</v>
      </c>
      <c r="B33" s="7" t="s">
        <v>162</v>
      </c>
      <c r="C33" s="8" t="s">
        <v>163</v>
      </c>
      <c r="D33" s="9">
        <v>70</v>
      </c>
      <c r="E33" s="10" t="str">
        <f>IFERROR((#REF! - C33) /#REF!, "")</f>
        <v/>
      </c>
      <c r="F33" s="11" t="s">
        <v>164</v>
      </c>
      <c r="G33" s="8" t="s">
        <v>165</v>
      </c>
      <c r="H33" s="9">
        <v>80</v>
      </c>
      <c r="I33" s="21" t="str">
        <f>IFERROR((#REF! - G33) /#REF!, "")</f>
        <v/>
      </c>
      <c r="J33" s="22" t="s">
        <v>21</v>
      </c>
      <c r="K33" s="16">
        <v>79</v>
      </c>
      <c r="L33" s="14" t="s">
        <v>21</v>
      </c>
      <c r="M33" s="15">
        <v>99</v>
      </c>
      <c r="N33" s="16">
        <v>89</v>
      </c>
      <c r="O33" s="17" t="s">
        <v>22</v>
      </c>
      <c r="P33" s="17" t="s">
        <v>23</v>
      </c>
    </row>
    <row r="34" spans="1:16" x14ac:dyDescent="0.2">
      <c r="A34" s="6" t="s">
        <v>166</v>
      </c>
      <c r="B34" s="24" t="s">
        <v>21</v>
      </c>
      <c r="C34" s="25" t="s">
        <v>34</v>
      </c>
      <c r="D34" s="9"/>
      <c r="E34" s="10" t="str">
        <f>IFERROR((#REF! - C34) /#REF!, "")</f>
        <v/>
      </c>
      <c r="F34" s="26" t="s">
        <v>167</v>
      </c>
      <c r="G34" s="8" t="s">
        <v>168</v>
      </c>
      <c r="H34" s="9">
        <v>80</v>
      </c>
      <c r="I34" s="27" t="str">
        <f>IFERROR((#REF! - G34) /#REF!, "")</f>
        <v/>
      </c>
      <c r="J34" s="28"/>
      <c r="K34" s="16">
        <v>69</v>
      </c>
      <c r="L34" s="14" t="s">
        <v>21</v>
      </c>
      <c r="M34" s="15">
        <v>79</v>
      </c>
      <c r="N34" s="16">
        <v>79</v>
      </c>
      <c r="O34" s="17" t="s">
        <v>22</v>
      </c>
      <c r="P34" s="17" t="s">
        <v>23</v>
      </c>
    </row>
    <row r="35" spans="1:16" x14ac:dyDescent="0.2">
      <c r="A35" s="6" t="s">
        <v>169</v>
      </c>
      <c r="B35" s="24" t="s">
        <v>21</v>
      </c>
      <c r="C35" s="25" t="s">
        <v>34</v>
      </c>
      <c r="D35" s="9"/>
      <c r="E35" s="29" t="str">
        <f>IFERROR((#REF! - C35) /#REF!, "")</f>
        <v/>
      </c>
      <c r="F35" s="30" t="s">
        <v>170</v>
      </c>
      <c r="G35" s="8" t="s">
        <v>171</v>
      </c>
      <c r="H35" s="9">
        <v>80</v>
      </c>
      <c r="I35" s="27" t="str">
        <f>IFERROR((#REF! - G35) /#REF!, "")</f>
        <v/>
      </c>
      <c r="J35" s="28"/>
      <c r="K35" s="16">
        <v>69</v>
      </c>
      <c r="L35" s="14" t="s">
        <v>21</v>
      </c>
      <c r="M35" s="15">
        <v>79</v>
      </c>
      <c r="N35" s="16">
        <v>79</v>
      </c>
      <c r="O35" s="17" t="s">
        <v>22</v>
      </c>
      <c r="P35" s="17" t="s">
        <v>23</v>
      </c>
    </row>
    <row r="36" spans="1:16" x14ac:dyDescent="0.2">
      <c r="A36" s="6" t="s">
        <v>172</v>
      </c>
      <c r="B36" s="24" t="s">
        <v>21</v>
      </c>
      <c r="C36" s="25" t="s">
        <v>34</v>
      </c>
      <c r="D36" s="9"/>
      <c r="E36" s="10" t="str">
        <f>IFERROR((#REF! - C36) /#REF!, "")</f>
        <v/>
      </c>
      <c r="F36" s="26" t="s">
        <v>170</v>
      </c>
      <c r="G36" s="8" t="s">
        <v>171</v>
      </c>
      <c r="H36" s="9">
        <v>80</v>
      </c>
      <c r="I36" s="27" t="str">
        <f>IFERROR((#REF! - G36) /#REF!, "")</f>
        <v/>
      </c>
      <c r="J36" s="28"/>
      <c r="K36" s="16">
        <v>69</v>
      </c>
      <c r="L36" s="14" t="s">
        <v>21</v>
      </c>
      <c r="M36" s="15">
        <v>79</v>
      </c>
      <c r="N36" s="16">
        <v>79</v>
      </c>
      <c r="O36" s="17" t="s">
        <v>22</v>
      </c>
      <c r="P36" s="17" t="s">
        <v>23</v>
      </c>
    </row>
    <row r="37" spans="1:16" x14ac:dyDescent="0.2">
      <c r="A37" s="6" t="s">
        <v>173</v>
      </c>
      <c r="B37" s="24" t="s">
        <v>21</v>
      </c>
      <c r="C37" s="25" t="s">
        <v>34</v>
      </c>
      <c r="D37" s="9"/>
      <c r="E37" s="10" t="str">
        <f>IFERROR((#REF! - C37) /#REF!, "")</f>
        <v/>
      </c>
      <c r="F37" s="11" t="s">
        <v>174</v>
      </c>
      <c r="G37" s="8" t="s">
        <v>175</v>
      </c>
      <c r="H37" s="9">
        <v>80</v>
      </c>
      <c r="I37" s="21" t="str">
        <f>IFERROR((#REF! - G37) /#REF!, "")</f>
        <v/>
      </c>
      <c r="J37" s="22" t="s">
        <v>21</v>
      </c>
      <c r="K37" s="16">
        <v>69</v>
      </c>
      <c r="L37" s="14" t="s">
        <v>21</v>
      </c>
      <c r="M37" s="15">
        <v>79</v>
      </c>
      <c r="N37" s="16" t="s">
        <v>21</v>
      </c>
      <c r="O37" s="17" t="s">
        <v>22</v>
      </c>
      <c r="P37" s="17" t="s">
        <v>23</v>
      </c>
    </row>
    <row r="38" spans="1:16" x14ac:dyDescent="0.2">
      <c r="A38" s="6" t="s">
        <v>176</v>
      </c>
      <c r="B38" s="24" t="s">
        <v>21</v>
      </c>
      <c r="C38" s="25" t="s">
        <v>34</v>
      </c>
      <c r="D38" s="9"/>
      <c r="E38" s="10" t="str">
        <f>IFERROR((#REF! - C38) /#REF!, "")</f>
        <v/>
      </c>
      <c r="F38" s="11" t="s">
        <v>177</v>
      </c>
      <c r="G38" s="8" t="s">
        <v>178</v>
      </c>
      <c r="H38" s="9">
        <v>80</v>
      </c>
      <c r="I38" s="21" t="str">
        <f>IFERROR((#REF! - G38) /#REF!, "")</f>
        <v/>
      </c>
      <c r="J38" s="22" t="s">
        <v>21</v>
      </c>
      <c r="K38" s="16">
        <v>69</v>
      </c>
      <c r="L38" s="14" t="s">
        <v>21</v>
      </c>
      <c r="M38" s="15">
        <v>79</v>
      </c>
      <c r="N38" s="16" t="s">
        <v>21</v>
      </c>
      <c r="O38" s="17" t="s">
        <v>22</v>
      </c>
      <c r="P38" s="17" t="s">
        <v>23</v>
      </c>
    </row>
    <row r="39" spans="1:16" x14ac:dyDescent="0.2">
      <c r="A39" s="6" t="s">
        <v>179</v>
      </c>
      <c r="B39" s="24" t="s">
        <v>21</v>
      </c>
      <c r="C39" s="25" t="s">
        <v>34</v>
      </c>
      <c r="D39" s="9"/>
      <c r="E39" s="10" t="str">
        <f>IFERROR((#REF! - C39) /#REF!, "")</f>
        <v/>
      </c>
      <c r="F39" s="11" t="s">
        <v>180</v>
      </c>
      <c r="G39" s="8" t="s">
        <v>181</v>
      </c>
      <c r="H39" s="9">
        <v>80</v>
      </c>
      <c r="I39" s="21" t="str">
        <f>IFERROR((#REF! - G39) /#REF!, "")</f>
        <v/>
      </c>
      <c r="J39" s="22" t="s">
        <v>21</v>
      </c>
      <c r="K39" s="16">
        <v>59</v>
      </c>
      <c r="L39" s="14" t="s">
        <v>21</v>
      </c>
      <c r="M39" s="14" t="s">
        <v>21</v>
      </c>
      <c r="N39" s="16" t="s">
        <v>21</v>
      </c>
      <c r="O39" s="17" t="s">
        <v>22</v>
      </c>
      <c r="P39" s="17" t="s">
        <v>23</v>
      </c>
    </row>
    <row r="40" spans="1:16" x14ac:dyDescent="0.2">
      <c r="A40" s="6" t="s">
        <v>182</v>
      </c>
      <c r="B40" s="31" t="s">
        <v>183</v>
      </c>
      <c r="C40" s="8" t="s">
        <v>184</v>
      </c>
      <c r="D40" s="9"/>
      <c r="E40" s="10" t="str">
        <f>IFERROR((#REF! - C40) /#REF!, "")</f>
        <v/>
      </c>
      <c r="F40" s="11" t="s">
        <v>185</v>
      </c>
      <c r="G40" s="8" t="s">
        <v>186</v>
      </c>
      <c r="H40" s="9">
        <v>80</v>
      </c>
      <c r="I40" s="21" t="str">
        <f>IFERROR((#REF! - G40) /#REF!, "")</f>
        <v/>
      </c>
      <c r="J40" s="22" t="s">
        <v>21</v>
      </c>
      <c r="K40" s="16">
        <v>59</v>
      </c>
      <c r="L40" s="14" t="s">
        <v>21</v>
      </c>
      <c r="M40" s="14" t="s">
        <v>21</v>
      </c>
      <c r="N40" s="16" t="s">
        <v>21</v>
      </c>
      <c r="O40" s="17" t="s">
        <v>22</v>
      </c>
      <c r="P40" s="17" t="s">
        <v>23</v>
      </c>
    </row>
    <row r="41" spans="1:16" x14ac:dyDescent="0.2">
      <c r="A41" s="6" t="s">
        <v>187</v>
      </c>
      <c r="B41" s="24" t="s">
        <v>21</v>
      </c>
      <c r="C41" s="25" t="s">
        <v>34</v>
      </c>
      <c r="D41" s="9"/>
      <c r="E41" s="10" t="str">
        <f>IFERROR((#REF! - C41) /#REF!, "")</f>
        <v/>
      </c>
      <c r="F41" s="11" t="s">
        <v>188</v>
      </c>
      <c r="G41" s="8" t="s">
        <v>189</v>
      </c>
      <c r="H41" s="9">
        <v>80</v>
      </c>
      <c r="I41" s="21" t="str">
        <f>IFERROR((#REF! - G41) /#REF!, "")</f>
        <v/>
      </c>
      <c r="J41" s="22" t="s">
        <v>21</v>
      </c>
      <c r="K41" s="16">
        <v>59</v>
      </c>
      <c r="L41" s="14" t="s">
        <v>21</v>
      </c>
      <c r="M41" s="14" t="s">
        <v>21</v>
      </c>
      <c r="N41" s="16" t="s">
        <v>21</v>
      </c>
      <c r="O41" s="17" t="s">
        <v>22</v>
      </c>
      <c r="P41" s="17" t="s">
        <v>23</v>
      </c>
    </row>
    <row r="42" spans="1:16" x14ac:dyDescent="0.2">
      <c r="A42" s="6" t="s">
        <v>190</v>
      </c>
      <c r="B42" s="24" t="s">
        <v>21</v>
      </c>
      <c r="C42" s="25" t="s">
        <v>34</v>
      </c>
      <c r="D42" s="9"/>
      <c r="E42" s="10" t="str">
        <f>IFERROR((#REF! - C42) /#REF!, "")</f>
        <v/>
      </c>
      <c r="F42" s="11" t="s">
        <v>191</v>
      </c>
      <c r="G42" s="8" t="s">
        <v>192</v>
      </c>
      <c r="H42" s="9">
        <v>80</v>
      </c>
      <c r="I42" s="21" t="str">
        <f>IFERROR((#REF! - G42) /#REF!, "")</f>
        <v/>
      </c>
      <c r="J42" s="22" t="s">
        <v>21</v>
      </c>
      <c r="K42" s="16">
        <v>59</v>
      </c>
      <c r="L42" s="14" t="s">
        <v>21</v>
      </c>
      <c r="M42" s="14" t="s">
        <v>21</v>
      </c>
      <c r="N42" s="16" t="s">
        <v>21</v>
      </c>
      <c r="O42" s="17" t="s">
        <v>22</v>
      </c>
      <c r="P42" s="17" t="s">
        <v>23</v>
      </c>
    </row>
    <row r="43" spans="1:16" x14ac:dyDescent="0.2">
      <c r="B43" s="32"/>
      <c r="C43" s="33"/>
      <c r="F43" s="33"/>
      <c r="G43" s="33"/>
    </row>
    <row r="44" spans="1:16" x14ac:dyDescent="0.2">
      <c r="B44" s="32"/>
      <c r="C44" s="33"/>
      <c r="F44" s="33"/>
      <c r="G44" s="33"/>
    </row>
    <row r="45" spans="1:16" x14ac:dyDescent="0.2">
      <c r="B45" s="32"/>
      <c r="C45" s="33"/>
      <c r="F45" s="33"/>
      <c r="G45" s="33"/>
    </row>
    <row r="46" spans="1:16" x14ac:dyDescent="0.2">
      <c r="B46" s="32"/>
      <c r="C46" s="33"/>
      <c r="F46" s="33"/>
      <c r="G46" s="33"/>
    </row>
    <row r="47" spans="1:16" x14ac:dyDescent="0.2">
      <c r="B47" s="32"/>
      <c r="C47" s="33"/>
      <c r="F47" s="33"/>
      <c r="G47" s="33"/>
    </row>
    <row r="48" spans="1:16" x14ac:dyDescent="0.2">
      <c r="B48" s="32"/>
      <c r="C48" s="33"/>
      <c r="F48" s="33"/>
      <c r="G48" s="33"/>
    </row>
    <row r="49" spans="2:7" x14ac:dyDescent="0.2">
      <c r="B49" s="32"/>
      <c r="C49" s="33"/>
      <c r="F49" s="33"/>
      <c r="G49" s="33"/>
    </row>
    <row r="50" spans="2:7" x14ac:dyDescent="0.2">
      <c r="B50" s="32"/>
      <c r="C50" s="33"/>
      <c r="F50" s="33"/>
      <c r="G50" s="33"/>
    </row>
    <row r="51" spans="2:7" x14ac:dyDescent="0.2">
      <c r="B51" s="32"/>
      <c r="C51" s="33"/>
      <c r="F51" s="33"/>
      <c r="G51" s="33"/>
    </row>
    <row r="52" spans="2:7" x14ac:dyDescent="0.2">
      <c r="B52" s="32"/>
      <c r="C52" s="33"/>
      <c r="F52" s="33"/>
      <c r="G52" s="33"/>
    </row>
    <row r="53" spans="2:7" x14ac:dyDescent="0.2">
      <c r="B53" s="32"/>
      <c r="C53" s="33"/>
      <c r="F53" s="33"/>
      <c r="G53" s="33"/>
    </row>
    <row r="54" spans="2:7" x14ac:dyDescent="0.2">
      <c r="B54" s="32"/>
      <c r="C54" s="33"/>
      <c r="F54" s="33"/>
      <c r="G54" s="33"/>
    </row>
    <row r="55" spans="2:7" x14ac:dyDescent="0.2">
      <c r="B55" s="32"/>
      <c r="C55" s="33"/>
      <c r="F55" s="33"/>
      <c r="G55" s="33"/>
    </row>
    <row r="56" spans="2:7" x14ac:dyDescent="0.2">
      <c r="B56" s="32"/>
      <c r="C56" s="33"/>
      <c r="F56" s="33"/>
      <c r="G56" s="33"/>
    </row>
    <row r="57" spans="2:7" x14ac:dyDescent="0.2">
      <c r="B57" s="32"/>
      <c r="C57" s="33"/>
      <c r="F57" s="33"/>
      <c r="G57" s="33"/>
    </row>
    <row r="58" spans="2:7" x14ac:dyDescent="0.2">
      <c r="B58" s="32"/>
      <c r="C58" s="33"/>
      <c r="F58" s="33"/>
      <c r="G58" s="33"/>
    </row>
    <row r="59" spans="2:7" x14ac:dyDescent="0.2">
      <c r="B59" s="32"/>
      <c r="C59" s="33"/>
      <c r="F59" s="33"/>
      <c r="G59" s="33"/>
    </row>
    <row r="60" spans="2:7" x14ac:dyDescent="0.2">
      <c r="B60" s="32"/>
      <c r="C60" s="33"/>
      <c r="F60" s="33"/>
      <c r="G60" s="33"/>
    </row>
    <row r="61" spans="2:7" x14ac:dyDescent="0.2">
      <c r="B61" s="32"/>
      <c r="C61" s="33"/>
      <c r="F61" s="33"/>
      <c r="G61" s="33"/>
    </row>
    <row r="62" spans="2:7" x14ac:dyDescent="0.2">
      <c r="B62" s="32"/>
      <c r="C62" s="33"/>
      <c r="F62" s="33"/>
      <c r="G62" s="33"/>
    </row>
    <row r="63" spans="2:7" x14ac:dyDescent="0.2">
      <c r="B63" s="32"/>
      <c r="C63" s="33"/>
      <c r="F63" s="33"/>
      <c r="G63" s="33"/>
    </row>
    <row r="64" spans="2:7" x14ac:dyDescent="0.2">
      <c r="B64" s="32"/>
      <c r="C64" s="33"/>
      <c r="F64" s="33"/>
      <c r="G64" s="33"/>
    </row>
    <row r="65" spans="2:7" x14ac:dyDescent="0.2">
      <c r="B65" s="32"/>
      <c r="C65" s="33"/>
      <c r="F65" s="33"/>
      <c r="G65" s="33"/>
    </row>
    <row r="66" spans="2:7" x14ac:dyDescent="0.2">
      <c r="B66" s="32"/>
      <c r="C66" s="33"/>
      <c r="F66" s="33"/>
      <c r="G66" s="33"/>
    </row>
    <row r="67" spans="2:7" x14ac:dyDescent="0.2">
      <c r="B67" s="32"/>
      <c r="C67" s="33"/>
      <c r="F67" s="33"/>
      <c r="G67" s="33"/>
    </row>
    <row r="68" spans="2:7" x14ac:dyDescent="0.2">
      <c r="B68" s="32"/>
      <c r="C68" s="33"/>
      <c r="F68" s="33"/>
      <c r="G68" s="33"/>
    </row>
    <row r="69" spans="2:7" x14ac:dyDescent="0.2">
      <c r="B69" s="32"/>
      <c r="C69" s="33"/>
      <c r="F69" s="33"/>
      <c r="G69" s="33"/>
    </row>
    <row r="70" spans="2:7" x14ac:dyDescent="0.2">
      <c r="B70" s="32"/>
      <c r="C70" s="33"/>
      <c r="F70" s="33"/>
      <c r="G70" s="33"/>
    </row>
    <row r="71" spans="2:7" x14ac:dyDescent="0.2">
      <c r="B71" s="32"/>
      <c r="C71" s="33"/>
      <c r="F71" s="33"/>
      <c r="G71" s="33"/>
    </row>
    <row r="72" spans="2:7" x14ac:dyDescent="0.2">
      <c r="B72" s="32"/>
      <c r="C72" s="33"/>
      <c r="F72" s="33"/>
      <c r="G72" s="33"/>
    </row>
    <row r="73" spans="2:7" x14ac:dyDescent="0.2">
      <c r="B73" s="32"/>
      <c r="C73" s="33"/>
      <c r="F73" s="33"/>
      <c r="G73" s="33"/>
    </row>
    <row r="74" spans="2:7" x14ac:dyDescent="0.2">
      <c r="B74" s="32"/>
      <c r="C74" s="33"/>
      <c r="F74" s="33"/>
      <c r="G74" s="33"/>
    </row>
    <row r="75" spans="2:7" x14ac:dyDescent="0.2">
      <c r="B75" s="32"/>
      <c r="C75" s="33"/>
      <c r="F75" s="33"/>
      <c r="G75" s="33"/>
    </row>
    <row r="76" spans="2:7" x14ac:dyDescent="0.2">
      <c r="B76" s="32"/>
      <c r="C76" s="33"/>
      <c r="F76" s="33"/>
      <c r="G76" s="33"/>
    </row>
    <row r="77" spans="2:7" x14ac:dyDescent="0.2">
      <c r="B77" s="32"/>
      <c r="C77" s="33"/>
      <c r="F77" s="33"/>
      <c r="G77" s="33"/>
    </row>
    <row r="78" spans="2:7" x14ac:dyDescent="0.2">
      <c r="B78" s="32"/>
      <c r="C78" s="33"/>
      <c r="F78" s="33"/>
      <c r="G78" s="33"/>
    </row>
    <row r="79" spans="2:7" x14ac:dyDescent="0.2">
      <c r="B79" s="32"/>
      <c r="C79" s="33"/>
      <c r="F79" s="33"/>
      <c r="G79" s="33"/>
    </row>
    <row r="80" spans="2:7" x14ac:dyDescent="0.2">
      <c r="B80" s="32"/>
      <c r="C80" s="33"/>
      <c r="F80" s="33"/>
      <c r="G80" s="33"/>
    </row>
    <row r="81" spans="2:7" x14ac:dyDescent="0.2">
      <c r="B81" s="32"/>
      <c r="C81" s="33"/>
      <c r="F81" s="33"/>
      <c r="G81" s="33"/>
    </row>
    <row r="82" spans="2:7" x14ac:dyDescent="0.2">
      <c r="B82" s="32"/>
      <c r="C82" s="33"/>
      <c r="F82" s="33"/>
      <c r="G82" s="33"/>
    </row>
    <row r="83" spans="2:7" x14ac:dyDescent="0.2">
      <c r="B83" s="32"/>
      <c r="C83" s="33"/>
      <c r="F83" s="33"/>
      <c r="G83" s="33"/>
    </row>
    <row r="84" spans="2:7" x14ac:dyDescent="0.2">
      <c r="B84" s="32"/>
      <c r="C84" s="33"/>
      <c r="F84" s="33"/>
      <c r="G84" s="33"/>
    </row>
    <row r="85" spans="2:7" x14ac:dyDescent="0.2">
      <c r="B85" s="32"/>
      <c r="C85" s="33"/>
      <c r="F85" s="33"/>
      <c r="G85" s="33"/>
    </row>
    <row r="86" spans="2:7" x14ac:dyDescent="0.2">
      <c r="B86" s="32"/>
      <c r="C86" s="33"/>
      <c r="F86" s="33"/>
      <c r="G86" s="33"/>
    </row>
    <row r="87" spans="2:7" x14ac:dyDescent="0.2">
      <c r="B87" s="32"/>
      <c r="C87" s="33"/>
      <c r="F87" s="33"/>
      <c r="G87" s="33"/>
    </row>
    <row r="88" spans="2:7" x14ac:dyDescent="0.2">
      <c r="B88" s="32"/>
      <c r="C88" s="33"/>
      <c r="F88" s="33"/>
      <c r="G88" s="33"/>
    </row>
    <row r="89" spans="2:7" x14ac:dyDescent="0.2">
      <c r="B89" s="32"/>
      <c r="C89" s="33"/>
      <c r="F89" s="33"/>
      <c r="G89" s="33"/>
    </row>
    <row r="90" spans="2:7" x14ac:dyDescent="0.2">
      <c r="B90" s="32"/>
      <c r="C90" s="33"/>
      <c r="F90" s="33"/>
      <c r="G90" s="33"/>
    </row>
    <row r="91" spans="2:7" x14ac:dyDescent="0.2">
      <c r="B91" s="32"/>
      <c r="C91" s="33"/>
      <c r="F91" s="33"/>
      <c r="G91" s="33"/>
    </row>
    <row r="92" spans="2:7" x14ac:dyDescent="0.2">
      <c r="B92" s="32"/>
      <c r="C92" s="33"/>
      <c r="F92" s="33"/>
      <c r="G92" s="33"/>
    </row>
    <row r="93" spans="2:7" x14ac:dyDescent="0.2">
      <c r="B93" s="32"/>
      <c r="C93" s="33"/>
      <c r="F93" s="33"/>
      <c r="G93" s="33"/>
    </row>
    <row r="94" spans="2:7" x14ac:dyDescent="0.2">
      <c r="B94" s="32"/>
      <c r="C94" s="33"/>
      <c r="F94" s="33"/>
      <c r="G94" s="33"/>
    </row>
    <row r="95" spans="2:7" x14ac:dyDescent="0.2">
      <c r="B95" s="32"/>
      <c r="C95" s="33"/>
      <c r="F95" s="33"/>
      <c r="G95" s="33"/>
    </row>
    <row r="96" spans="2:7" x14ac:dyDescent="0.2">
      <c r="B96" s="32"/>
      <c r="C96" s="33"/>
      <c r="F96" s="33"/>
      <c r="G96" s="33"/>
    </row>
    <row r="97" spans="2:7" x14ac:dyDescent="0.2">
      <c r="B97" s="32"/>
      <c r="C97" s="33"/>
      <c r="F97" s="33"/>
      <c r="G97" s="33"/>
    </row>
    <row r="98" spans="2:7" x14ac:dyDescent="0.2">
      <c r="B98" s="32"/>
      <c r="C98" s="33"/>
      <c r="F98" s="33"/>
      <c r="G98" s="33"/>
    </row>
    <row r="99" spans="2:7" x14ac:dyDescent="0.2">
      <c r="B99" s="32"/>
      <c r="C99" s="33"/>
      <c r="F99" s="33"/>
      <c r="G99" s="33"/>
    </row>
    <row r="100" spans="2:7" x14ac:dyDescent="0.2">
      <c r="B100" s="32"/>
      <c r="C100" s="33"/>
      <c r="F100" s="33"/>
      <c r="G100" s="33"/>
    </row>
    <row r="101" spans="2:7" x14ac:dyDescent="0.2">
      <c r="B101" s="32"/>
      <c r="C101" s="33"/>
      <c r="F101" s="33"/>
      <c r="G101" s="33"/>
    </row>
    <row r="102" spans="2:7" x14ac:dyDescent="0.2">
      <c r="B102" s="32"/>
      <c r="C102" s="33"/>
      <c r="F102" s="33"/>
      <c r="G102" s="33"/>
    </row>
    <row r="103" spans="2:7" x14ac:dyDescent="0.2">
      <c r="B103" s="32"/>
      <c r="C103" s="33"/>
      <c r="F103" s="33"/>
      <c r="G103" s="33"/>
    </row>
    <row r="104" spans="2:7" x14ac:dyDescent="0.2">
      <c r="B104" s="32"/>
      <c r="C104" s="33"/>
      <c r="F104" s="33"/>
      <c r="G104" s="33"/>
    </row>
    <row r="105" spans="2:7" x14ac:dyDescent="0.2">
      <c r="B105" s="32"/>
      <c r="C105" s="33"/>
      <c r="F105" s="33"/>
      <c r="G105" s="33"/>
    </row>
    <row r="106" spans="2:7" x14ac:dyDescent="0.2">
      <c r="B106" s="32"/>
      <c r="C106" s="33"/>
      <c r="F106" s="33"/>
      <c r="G106" s="33"/>
    </row>
    <row r="107" spans="2:7" x14ac:dyDescent="0.2">
      <c r="B107" s="32"/>
      <c r="C107" s="33"/>
      <c r="F107" s="33"/>
      <c r="G107" s="33"/>
    </row>
    <row r="108" spans="2:7" x14ac:dyDescent="0.2">
      <c r="B108" s="32"/>
      <c r="C108" s="33"/>
      <c r="F108" s="33"/>
      <c r="G108" s="33"/>
    </row>
    <row r="109" spans="2:7" x14ac:dyDescent="0.2">
      <c r="B109" s="32"/>
      <c r="C109" s="33"/>
      <c r="F109" s="33"/>
      <c r="G109" s="33"/>
    </row>
    <row r="110" spans="2:7" x14ac:dyDescent="0.2">
      <c r="B110" s="32"/>
      <c r="C110" s="33"/>
      <c r="F110" s="33"/>
      <c r="G110" s="33"/>
    </row>
    <row r="111" spans="2:7" x14ac:dyDescent="0.2">
      <c r="B111" s="32"/>
      <c r="C111" s="33"/>
      <c r="F111" s="33"/>
      <c r="G111" s="33"/>
    </row>
    <row r="112" spans="2:7" x14ac:dyDescent="0.2">
      <c r="B112" s="32"/>
      <c r="C112" s="33"/>
      <c r="F112" s="33"/>
      <c r="G112" s="33"/>
    </row>
    <row r="113" spans="2:7" x14ac:dyDescent="0.2">
      <c r="B113" s="32"/>
      <c r="C113" s="33"/>
      <c r="F113" s="33"/>
      <c r="G113" s="33"/>
    </row>
    <row r="114" spans="2:7" x14ac:dyDescent="0.2">
      <c r="B114" s="32"/>
      <c r="C114" s="33"/>
      <c r="F114" s="33"/>
      <c r="G114" s="33"/>
    </row>
    <row r="115" spans="2:7" x14ac:dyDescent="0.2">
      <c r="B115" s="32"/>
      <c r="C115" s="33"/>
      <c r="F115" s="33"/>
      <c r="G115" s="33"/>
    </row>
    <row r="116" spans="2:7" x14ac:dyDescent="0.2">
      <c r="B116" s="32"/>
      <c r="C116" s="33"/>
      <c r="F116" s="33"/>
      <c r="G116" s="33"/>
    </row>
    <row r="117" spans="2:7" x14ac:dyDescent="0.2">
      <c r="B117" s="32"/>
      <c r="C117" s="33"/>
      <c r="F117" s="33"/>
      <c r="G117" s="33"/>
    </row>
    <row r="118" spans="2:7" x14ac:dyDescent="0.2">
      <c r="B118" s="32"/>
      <c r="C118" s="33"/>
      <c r="F118" s="33"/>
      <c r="G118" s="33"/>
    </row>
    <row r="119" spans="2:7" x14ac:dyDescent="0.2">
      <c r="B119" s="32"/>
      <c r="C119" s="33"/>
      <c r="F119" s="33"/>
      <c r="G119" s="33"/>
    </row>
    <row r="120" spans="2:7" x14ac:dyDescent="0.2">
      <c r="B120" s="32"/>
      <c r="C120" s="33"/>
      <c r="F120" s="33"/>
      <c r="G120" s="33"/>
    </row>
    <row r="121" spans="2:7" x14ac:dyDescent="0.2">
      <c r="B121" s="32"/>
      <c r="C121" s="33"/>
      <c r="F121" s="33"/>
      <c r="G121" s="33"/>
    </row>
    <row r="122" spans="2:7" x14ac:dyDescent="0.2">
      <c r="B122" s="32"/>
      <c r="C122" s="33"/>
      <c r="F122" s="33"/>
      <c r="G122" s="33"/>
    </row>
    <row r="123" spans="2:7" x14ac:dyDescent="0.2">
      <c r="B123" s="32"/>
      <c r="C123" s="33"/>
      <c r="F123" s="33"/>
      <c r="G123" s="33"/>
    </row>
    <row r="124" spans="2:7" x14ac:dyDescent="0.2">
      <c r="B124" s="32"/>
      <c r="C124" s="33"/>
      <c r="F124" s="33"/>
      <c r="G124" s="33"/>
    </row>
    <row r="125" spans="2:7" x14ac:dyDescent="0.2">
      <c r="B125" s="32"/>
      <c r="C125" s="33"/>
      <c r="F125" s="33"/>
      <c r="G125" s="33"/>
    </row>
    <row r="126" spans="2:7" x14ac:dyDescent="0.2">
      <c r="B126" s="32"/>
      <c r="C126" s="33"/>
      <c r="F126" s="33"/>
      <c r="G126" s="33"/>
    </row>
    <row r="127" spans="2:7" x14ac:dyDescent="0.2">
      <c r="B127" s="32"/>
      <c r="C127" s="33"/>
      <c r="F127" s="33"/>
      <c r="G127" s="33"/>
    </row>
    <row r="128" spans="2:7" x14ac:dyDescent="0.2">
      <c r="B128" s="32"/>
      <c r="C128" s="33"/>
      <c r="F128" s="33"/>
      <c r="G128" s="33"/>
    </row>
    <row r="129" spans="2:7" x14ac:dyDescent="0.2">
      <c r="B129" s="32"/>
      <c r="C129" s="33"/>
      <c r="F129" s="33"/>
      <c r="G129" s="33"/>
    </row>
    <row r="130" spans="2:7" x14ac:dyDescent="0.2">
      <c r="B130" s="32"/>
      <c r="C130" s="33"/>
      <c r="F130" s="33"/>
      <c r="G130" s="33"/>
    </row>
    <row r="131" spans="2:7" x14ac:dyDescent="0.2">
      <c r="B131" s="32"/>
      <c r="C131" s="33"/>
      <c r="F131" s="33"/>
      <c r="G131" s="33"/>
    </row>
    <row r="132" spans="2:7" x14ac:dyDescent="0.2">
      <c r="B132" s="32"/>
      <c r="C132" s="33"/>
      <c r="F132" s="33"/>
      <c r="G132" s="33"/>
    </row>
    <row r="133" spans="2:7" x14ac:dyDescent="0.2">
      <c r="B133" s="32"/>
      <c r="C133" s="33"/>
      <c r="F133" s="33"/>
      <c r="G133" s="33"/>
    </row>
    <row r="134" spans="2:7" x14ac:dyDescent="0.2">
      <c r="B134" s="32"/>
      <c r="C134" s="33"/>
      <c r="F134" s="33"/>
      <c r="G134" s="33"/>
    </row>
    <row r="135" spans="2:7" x14ac:dyDescent="0.2">
      <c r="B135" s="32"/>
      <c r="C135" s="33"/>
      <c r="F135" s="33"/>
      <c r="G135" s="33"/>
    </row>
    <row r="136" spans="2:7" x14ac:dyDescent="0.2">
      <c r="B136" s="32"/>
      <c r="C136" s="33"/>
      <c r="F136" s="33"/>
      <c r="G136" s="33"/>
    </row>
    <row r="137" spans="2:7" x14ac:dyDescent="0.2">
      <c r="B137" s="32"/>
      <c r="C137" s="33"/>
      <c r="F137" s="33"/>
      <c r="G137" s="33"/>
    </row>
    <row r="138" spans="2:7" x14ac:dyDescent="0.2">
      <c r="B138" s="32"/>
      <c r="C138" s="33"/>
      <c r="F138" s="33"/>
      <c r="G138" s="33"/>
    </row>
    <row r="139" spans="2:7" x14ac:dyDescent="0.2">
      <c r="B139" s="32"/>
      <c r="C139" s="33"/>
      <c r="F139" s="33"/>
      <c r="G139" s="33"/>
    </row>
    <row r="140" spans="2:7" x14ac:dyDescent="0.2">
      <c r="B140" s="32"/>
      <c r="C140" s="33"/>
      <c r="F140" s="33"/>
      <c r="G140" s="33"/>
    </row>
    <row r="141" spans="2:7" x14ac:dyDescent="0.2">
      <c r="B141" s="32"/>
      <c r="C141" s="33"/>
      <c r="F141" s="33"/>
      <c r="G141" s="33"/>
    </row>
    <row r="142" spans="2:7" x14ac:dyDescent="0.2">
      <c r="B142" s="32"/>
      <c r="C142" s="33"/>
      <c r="F142" s="33"/>
      <c r="G142" s="33"/>
    </row>
    <row r="143" spans="2:7" x14ac:dyDescent="0.2">
      <c r="B143" s="32"/>
      <c r="C143" s="33"/>
      <c r="F143" s="33"/>
      <c r="G143" s="33"/>
    </row>
    <row r="144" spans="2:7" x14ac:dyDescent="0.2">
      <c r="B144" s="32"/>
      <c r="C144" s="33"/>
      <c r="F144" s="33"/>
      <c r="G144" s="33"/>
    </row>
    <row r="145" spans="2:7" x14ac:dyDescent="0.2">
      <c r="B145" s="32"/>
      <c r="C145" s="33"/>
      <c r="F145" s="33"/>
      <c r="G145" s="33"/>
    </row>
    <row r="146" spans="2:7" x14ac:dyDescent="0.2">
      <c r="B146" s="32"/>
      <c r="C146" s="33"/>
      <c r="F146" s="33"/>
      <c r="G146" s="33"/>
    </row>
    <row r="147" spans="2:7" x14ac:dyDescent="0.2">
      <c r="B147" s="32"/>
      <c r="C147" s="33"/>
      <c r="F147" s="33"/>
      <c r="G147" s="33"/>
    </row>
    <row r="148" spans="2:7" x14ac:dyDescent="0.2">
      <c r="B148" s="32"/>
      <c r="C148" s="33"/>
      <c r="F148" s="33"/>
      <c r="G148" s="33"/>
    </row>
    <row r="149" spans="2:7" x14ac:dyDescent="0.2">
      <c r="B149" s="32"/>
      <c r="C149" s="33"/>
      <c r="F149" s="33"/>
      <c r="G149" s="33"/>
    </row>
    <row r="150" spans="2:7" x14ac:dyDescent="0.2">
      <c r="B150" s="32"/>
      <c r="C150" s="33"/>
      <c r="F150" s="33"/>
      <c r="G150" s="33"/>
    </row>
    <row r="151" spans="2:7" x14ac:dyDescent="0.2">
      <c r="B151" s="32"/>
      <c r="C151" s="33"/>
      <c r="F151" s="33"/>
      <c r="G151" s="33"/>
    </row>
    <row r="152" spans="2:7" x14ac:dyDescent="0.2">
      <c r="B152" s="32"/>
      <c r="C152" s="33"/>
      <c r="F152" s="33"/>
      <c r="G152" s="33"/>
    </row>
    <row r="153" spans="2:7" x14ac:dyDescent="0.2">
      <c r="B153" s="32"/>
      <c r="C153" s="33"/>
      <c r="F153" s="33"/>
      <c r="G153" s="33"/>
    </row>
    <row r="154" spans="2:7" x14ac:dyDescent="0.2">
      <c r="B154" s="32"/>
      <c r="C154" s="33"/>
      <c r="F154" s="33"/>
      <c r="G154" s="33"/>
    </row>
    <row r="155" spans="2:7" x14ac:dyDescent="0.2">
      <c r="B155" s="32"/>
      <c r="C155" s="33"/>
      <c r="F155" s="33"/>
      <c r="G155" s="33"/>
    </row>
    <row r="156" spans="2:7" x14ac:dyDescent="0.2">
      <c r="B156" s="32"/>
      <c r="C156" s="33"/>
      <c r="F156" s="33"/>
      <c r="G156" s="33"/>
    </row>
    <row r="157" spans="2:7" x14ac:dyDescent="0.2">
      <c r="B157" s="32"/>
      <c r="C157" s="33"/>
      <c r="F157" s="33"/>
      <c r="G157" s="33"/>
    </row>
    <row r="158" spans="2:7" x14ac:dyDescent="0.2">
      <c r="B158" s="32"/>
      <c r="C158" s="33"/>
      <c r="F158" s="33"/>
      <c r="G158" s="33"/>
    </row>
    <row r="159" spans="2:7" x14ac:dyDescent="0.2">
      <c r="B159" s="32"/>
      <c r="C159" s="33"/>
      <c r="F159" s="33"/>
      <c r="G159" s="33"/>
    </row>
    <row r="160" spans="2:7" x14ac:dyDescent="0.2">
      <c r="B160" s="32"/>
      <c r="C160" s="33"/>
      <c r="F160" s="33"/>
      <c r="G160" s="33"/>
    </row>
    <row r="161" spans="2:7" x14ac:dyDescent="0.2">
      <c r="B161" s="32"/>
      <c r="C161" s="33"/>
      <c r="F161" s="33"/>
      <c r="G161" s="33"/>
    </row>
    <row r="162" spans="2:7" x14ac:dyDescent="0.2">
      <c r="B162" s="32"/>
      <c r="C162" s="33"/>
      <c r="F162" s="33"/>
      <c r="G162" s="33"/>
    </row>
    <row r="163" spans="2:7" x14ac:dyDescent="0.2">
      <c r="B163" s="32"/>
      <c r="C163" s="33"/>
      <c r="F163" s="33"/>
      <c r="G163" s="33"/>
    </row>
    <row r="164" spans="2:7" x14ac:dyDescent="0.2">
      <c r="B164" s="32"/>
      <c r="C164" s="33"/>
      <c r="F164" s="33"/>
      <c r="G164" s="33"/>
    </row>
    <row r="165" spans="2:7" x14ac:dyDescent="0.2">
      <c r="B165" s="32"/>
      <c r="C165" s="33"/>
      <c r="F165" s="33"/>
      <c r="G165" s="33"/>
    </row>
    <row r="166" spans="2:7" x14ac:dyDescent="0.2">
      <c r="B166" s="32"/>
      <c r="C166" s="33"/>
      <c r="F166" s="33"/>
      <c r="G166" s="33"/>
    </row>
    <row r="167" spans="2:7" x14ac:dyDescent="0.2">
      <c r="B167" s="32"/>
      <c r="C167" s="33"/>
      <c r="F167" s="33"/>
      <c r="G167" s="33"/>
    </row>
    <row r="168" spans="2:7" x14ac:dyDescent="0.2">
      <c r="B168" s="32"/>
      <c r="C168" s="33"/>
      <c r="F168" s="33"/>
      <c r="G168" s="33"/>
    </row>
    <row r="169" spans="2:7" x14ac:dyDescent="0.2">
      <c r="B169" s="32"/>
      <c r="C169" s="33"/>
      <c r="F169" s="33"/>
      <c r="G169" s="33"/>
    </row>
    <row r="170" spans="2:7" x14ac:dyDescent="0.2">
      <c r="B170" s="32"/>
      <c r="C170" s="33"/>
      <c r="F170" s="33"/>
      <c r="G170" s="33"/>
    </row>
    <row r="171" spans="2:7" x14ac:dyDescent="0.2">
      <c r="B171" s="32"/>
      <c r="C171" s="33"/>
      <c r="F171" s="33"/>
      <c r="G171" s="33"/>
    </row>
    <row r="172" spans="2:7" x14ac:dyDescent="0.2">
      <c r="B172" s="32"/>
      <c r="C172" s="33"/>
      <c r="F172" s="33"/>
      <c r="G172" s="33"/>
    </row>
    <row r="173" spans="2:7" x14ac:dyDescent="0.2">
      <c r="B173" s="32"/>
      <c r="C173" s="33"/>
      <c r="F173" s="33"/>
      <c r="G173" s="33"/>
    </row>
    <row r="174" spans="2:7" x14ac:dyDescent="0.2">
      <c r="B174" s="32"/>
      <c r="C174" s="33"/>
      <c r="F174" s="33"/>
      <c r="G174" s="33"/>
    </row>
    <row r="175" spans="2:7" x14ac:dyDescent="0.2">
      <c r="B175" s="32"/>
      <c r="C175" s="33"/>
      <c r="F175" s="33"/>
      <c r="G175" s="33"/>
    </row>
    <row r="176" spans="2:7" x14ac:dyDescent="0.2">
      <c r="B176" s="32"/>
      <c r="C176" s="33"/>
      <c r="F176" s="33"/>
      <c r="G176" s="33"/>
    </row>
    <row r="177" spans="2:7" x14ac:dyDescent="0.2">
      <c r="B177" s="32"/>
      <c r="C177" s="33"/>
      <c r="F177" s="33"/>
      <c r="G177" s="33"/>
    </row>
    <row r="178" spans="2:7" x14ac:dyDescent="0.2">
      <c r="B178" s="32"/>
      <c r="C178" s="33"/>
      <c r="F178" s="33"/>
      <c r="G178" s="33"/>
    </row>
    <row r="179" spans="2:7" x14ac:dyDescent="0.2">
      <c r="B179" s="32"/>
      <c r="C179" s="33"/>
      <c r="F179" s="33"/>
      <c r="G179" s="33"/>
    </row>
    <row r="180" spans="2:7" x14ac:dyDescent="0.2">
      <c r="B180" s="32"/>
      <c r="C180" s="33"/>
      <c r="F180" s="33"/>
      <c r="G180" s="33"/>
    </row>
    <row r="181" spans="2:7" x14ac:dyDescent="0.2">
      <c r="B181" s="32"/>
      <c r="C181" s="33"/>
      <c r="F181" s="33"/>
      <c r="G181" s="33"/>
    </row>
    <row r="182" spans="2:7" x14ac:dyDescent="0.2">
      <c r="B182" s="32"/>
      <c r="C182" s="33"/>
      <c r="F182" s="33"/>
      <c r="G182" s="33"/>
    </row>
    <row r="183" spans="2:7" x14ac:dyDescent="0.2">
      <c r="B183" s="32"/>
      <c r="C183" s="33"/>
      <c r="F183" s="33"/>
      <c r="G183" s="33"/>
    </row>
    <row r="184" spans="2:7" x14ac:dyDescent="0.2">
      <c r="B184" s="32"/>
      <c r="C184" s="33"/>
      <c r="F184" s="33"/>
      <c r="G184" s="33"/>
    </row>
    <row r="185" spans="2:7" x14ac:dyDescent="0.2">
      <c r="B185" s="32"/>
      <c r="C185" s="33"/>
      <c r="F185" s="33"/>
      <c r="G185" s="33"/>
    </row>
    <row r="186" spans="2:7" x14ac:dyDescent="0.2">
      <c r="B186" s="32"/>
      <c r="C186" s="33"/>
      <c r="F186" s="33"/>
      <c r="G186" s="33"/>
    </row>
    <row r="187" spans="2:7" x14ac:dyDescent="0.2">
      <c r="B187" s="32"/>
      <c r="C187" s="33"/>
      <c r="F187" s="33"/>
      <c r="G187" s="33"/>
    </row>
    <row r="188" spans="2:7" x14ac:dyDescent="0.2">
      <c r="B188" s="32"/>
      <c r="C188" s="33"/>
      <c r="F188" s="33"/>
      <c r="G188" s="33"/>
    </row>
    <row r="189" spans="2:7" x14ac:dyDescent="0.2">
      <c r="B189" s="32"/>
      <c r="C189" s="33"/>
      <c r="F189" s="33"/>
      <c r="G189" s="33"/>
    </row>
    <row r="190" spans="2:7" x14ac:dyDescent="0.2">
      <c r="B190" s="32"/>
      <c r="C190" s="33"/>
      <c r="F190" s="33"/>
      <c r="G190" s="33"/>
    </row>
    <row r="191" spans="2:7" x14ac:dyDescent="0.2">
      <c r="B191" s="32"/>
      <c r="C191" s="33"/>
      <c r="F191" s="33"/>
      <c r="G191" s="33"/>
    </row>
    <row r="192" spans="2:7" x14ac:dyDescent="0.2">
      <c r="B192" s="32"/>
      <c r="C192" s="33"/>
      <c r="F192" s="33"/>
      <c r="G192" s="33"/>
    </row>
    <row r="193" spans="2:7" x14ac:dyDescent="0.2">
      <c r="B193" s="32"/>
      <c r="C193" s="33"/>
      <c r="F193" s="33"/>
      <c r="G193" s="33"/>
    </row>
    <row r="194" spans="2:7" x14ac:dyDescent="0.2">
      <c r="B194" s="32"/>
      <c r="C194" s="33"/>
      <c r="F194" s="33"/>
      <c r="G194" s="33"/>
    </row>
    <row r="195" spans="2:7" x14ac:dyDescent="0.2">
      <c r="B195" s="32"/>
      <c r="C195" s="33"/>
      <c r="F195" s="33"/>
      <c r="G195" s="33"/>
    </row>
    <row r="196" spans="2:7" x14ac:dyDescent="0.2">
      <c r="B196" s="32"/>
      <c r="C196" s="33"/>
      <c r="F196" s="33"/>
      <c r="G196" s="33"/>
    </row>
    <row r="197" spans="2:7" x14ac:dyDescent="0.2">
      <c r="B197" s="32"/>
      <c r="C197" s="33"/>
      <c r="F197" s="33"/>
      <c r="G197" s="33"/>
    </row>
    <row r="198" spans="2:7" x14ac:dyDescent="0.2">
      <c r="B198" s="32"/>
      <c r="C198" s="33"/>
      <c r="F198" s="33"/>
      <c r="G198" s="33"/>
    </row>
    <row r="199" spans="2:7" x14ac:dyDescent="0.2">
      <c r="B199" s="32"/>
      <c r="C199" s="33"/>
      <c r="F199" s="33"/>
      <c r="G199" s="33"/>
    </row>
    <row r="200" spans="2:7" x14ac:dyDescent="0.2">
      <c r="B200" s="32"/>
      <c r="C200" s="33"/>
      <c r="F200" s="33"/>
      <c r="G200" s="33"/>
    </row>
    <row r="201" spans="2:7" x14ac:dyDescent="0.2">
      <c r="B201" s="32"/>
      <c r="C201" s="33"/>
      <c r="F201" s="33"/>
      <c r="G201" s="33"/>
    </row>
    <row r="202" spans="2:7" x14ac:dyDescent="0.2">
      <c r="B202" s="32"/>
      <c r="C202" s="33"/>
      <c r="F202" s="33"/>
      <c r="G202" s="33"/>
    </row>
    <row r="203" spans="2:7" x14ac:dyDescent="0.2">
      <c r="B203" s="32"/>
      <c r="C203" s="33"/>
      <c r="F203" s="33"/>
      <c r="G203" s="33"/>
    </row>
    <row r="204" spans="2:7" x14ac:dyDescent="0.2">
      <c r="B204" s="32"/>
      <c r="C204" s="33"/>
      <c r="F204" s="33"/>
      <c r="G204" s="33"/>
    </row>
    <row r="205" spans="2:7" x14ac:dyDescent="0.2">
      <c r="B205" s="32"/>
      <c r="C205" s="33"/>
      <c r="F205" s="33"/>
      <c r="G205" s="33"/>
    </row>
    <row r="206" spans="2:7" x14ac:dyDescent="0.2">
      <c r="B206" s="32"/>
      <c r="C206" s="33"/>
      <c r="F206" s="33"/>
      <c r="G206" s="33"/>
    </row>
    <row r="207" spans="2:7" x14ac:dyDescent="0.2">
      <c r="B207" s="32"/>
      <c r="C207" s="33"/>
      <c r="F207" s="33"/>
      <c r="G207" s="33"/>
    </row>
    <row r="208" spans="2:7" x14ac:dyDescent="0.2">
      <c r="B208" s="32"/>
      <c r="C208" s="33"/>
      <c r="F208" s="33"/>
      <c r="G208" s="33"/>
    </row>
    <row r="209" spans="2:7" x14ac:dyDescent="0.2">
      <c r="B209" s="32"/>
      <c r="C209" s="33"/>
      <c r="F209" s="33"/>
      <c r="G209" s="33"/>
    </row>
    <row r="210" spans="2:7" x14ac:dyDescent="0.2">
      <c r="B210" s="32"/>
      <c r="C210" s="33"/>
      <c r="F210" s="33"/>
      <c r="G210" s="33"/>
    </row>
    <row r="211" spans="2:7" x14ac:dyDescent="0.2">
      <c r="B211" s="32"/>
      <c r="C211" s="33"/>
      <c r="F211" s="33"/>
      <c r="G211" s="33"/>
    </row>
    <row r="212" spans="2:7" x14ac:dyDescent="0.2">
      <c r="B212" s="32"/>
      <c r="C212" s="33"/>
      <c r="F212" s="33"/>
      <c r="G212" s="33"/>
    </row>
    <row r="213" spans="2:7" x14ac:dyDescent="0.2">
      <c r="B213" s="32"/>
      <c r="C213" s="33"/>
      <c r="F213" s="33"/>
      <c r="G213" s="33"/>
    </row>
    <row r="214" spans="2:7" x14ac:dyDescent="0.2">
      <c r="B214" s="32"/>
      <c r="C214" s="33"/>
      <c r="F214" s="33"/>
      <c r="G214" s="33"/>
    </row>
    <row r="215" spans="2:7" x14ac:dyDescent="0.2">
      <c r="B215" s="32"/>
      <c r="C215" s="33"/>
      <c r="F215" s="33"/>
      <c r="G215" s="33"/>
    </row>
    <row r="216" spans="2:7" x14ac:dyDescent="0.2">
      <c r="B216" s="32"/>
      <c r="C216" s="33"/>
      <c r="F216" s="33"/>
      <c r="G216" s="33"/>
    </row>
    <row r="217" spans="2:7" x14ac:dyDescent="0.2">
      <c r="B217" s="32"/>
      <c r="C217" s="33"/>
      <c r="F217" s="33"/>
      <c r="G217" s="33"/>
    </row>
    <row r="218" spans="2:7" x14ac:dyDescent="0.2">
      <c r="B218" s="32"/>
      <c r="C218" s="33"/>
      <c r="F218" s="33"/>
      <c r="G218" s="33"/>
    </row>
    <row r="219" spans="2:7" x14ac:dyDescent="0.2">
      <c r="B219" s="32"/>
      <c r="C219" s="33"/>
      <c r="F219" s="33"/>
      <c r="G219" s="33"/>
    </row>
    <row r="220" spans="2:7" x14ac:dyDescent="0.2">
      <c r="B220" s="32"/>
      <c r="C220" s="33"/>
      <c r="F220" s="33"/>
      <c r="G220" s="33"/>
    </row>
    <row r="221" spans="2:7" x14ac:dyDescent="0.2">
      <c r="B221" s="32"/>
      <c r="C221" s="33"/>
      <c r="F221" s="33"/>
      <c r="G221" s="33"/>
    </row>
    <row r="222" spans="2:7" x14ac:dyDescent="0.2">
      <c r="B222" s="32"/>
      <c r="C222" s="33"/>
      <c r="F222" s="33"/>
      <c r="G222" s="33"/>
    </row>
    <row r="223" spans="2:7" x14ac:dyDescent="0.2">
      <c r="B223" s="32"/>
      <c r="C223" s="33"/>
      <c r="F223" s="33"/>
      <c r="G223" s="33"/>
    </row>
    <row r="224" spans="2:7" x14ac:dyDescent="0.2">
      <c r="B224" s="32"/>
      <c r="C224" s="33"/>
      <c r="F224" s="33"/>
      <c r="G224" s="33"/>
    </row>
    <row r="225" spans="2:7" x14ac:dyDescent="0.2">
      <c r="B225" s="32"/>
      <c r="C225" s="33"/>
      <c r="F225" s="33"/>
      <c r="G225" s="33"/>
    </row>
    <row r="226" spans="2:7" x14ac:dyDescent="0.2">
      <c r="B226" s="32"/>
      <c r="C226" s="33"/>
      <c r="F226" s="33"/>
      <c r="G226" s="33"/>
    </row>
    <row r="227" spans="2:7" x14ac:dyDescent="0.2">
      <c r="B227" s="32"/>
      <c r="C227" s="33"/>
      <c r="F227" s="33"/>
      <c r="G227" s="33"/>
    </row>
    <row r="228" spans="2:7" x14ac:dyDescent="0.2">
      <c r="B228" s="32"/>
      <c r="C228" s="33"/>
      <c r="F228" s="33"/>
      <c r="G228" s="33"/>
    </row>
    <row r="229" spans="2:7" x14ac:dyDescent="0.2">
      <c r="B229" s="32"/>
      <c r="C229" s="33"/>
      <c r="F229" s="33"/>
      <c r="G229" s="33"/>
    </row>
    <row r="230" spans="2:7" x14ac:dyDescent="0.2">
      <c r="B230" s="32"/>
      <c r="C230" s="33"/>
      <c r="F230" s="33"/>
      <c r="G230" s="33"/>
    </row>
    <row r="231" spans="2:7" x14ac:dyDescent="0.2">
      <c r="B231" s="32"/>
      <c r="C231" s="33"/>
      <c r="F231" s="33"/>
      <c r="G231" s="33"/>
    </row>
    <row r="232" spans="2:7" x14ac:dyDescent="0.2">
      <c r="B232" s="32"/>
      <c r="C232" s="33"/>
      <c r="F232" s="33"/>
      <c r="G232" s="33"/>
    </row>
    <row r="233" spans="2:7" x14ac:dyDescent="0.2">
      <c r="B233" s="32"/>
      <c r="C233" s="33"/>
      <c r="F233" s="33"/>
      <c r="G233" s="33"/>
    </row>
    <row r="234" spans="2:7" x14ac:dyDescent="0.2">
      <c r="B234" s="32"/>
      <c r="C234" s="33"/>
      <c r="F234" s="33"/>
      <c r="G234" s="33"/>
    </row>
    <row r="235" spans="2:7" x14ac:dyDescent="0.2">
      <c r="B235" s="32"/>
      <c r="C235" s="33"/>
      <c r="F235" s="33"/>
      <c r="G235" s="33"/>
    </row>
    <row r="236" spans="2:7" x14ac:dyDescent="0.2">
      <c r="B236" s="32"/>
      <c r="C236" s="33"/>
      <c r="F236" s="33"/>
      <c r="G236" s="33"/>
    </row>
    <row r="237" spans="2:7" x14ac:dyDescent="0.2">
      <c r="B237" s="32"/>
      <c r="C237" s="33"/>
      <c r="F237" s="33"/>
      <c r="G237" s="33"/>
    </row>
    <row r="238" spans="2:7" x14ac:dyDescent="0.2">
      <c r="B238" s="32"/>
      <c r="C238" s="33"/>
      <c r="F238" s="33"/>
      <c r="G238" s="33"/>
    </row>
    <row r="239" spans="2:7" x14ac:dyDescent="0.2">
      <c r="B239" s="32"/>
      <c r="C239" s="33"/>
      <c r="F239" s="33"/>
      <c r="G239" s="33"/>
    </row>
    <row r="240" spans="2:7" x14ac:dyDescent="0.2">
      <c r="B240" s="32"/>
      <c r="C240" s="33"/>
      <c r="F240" s="33"/>
      <c r="G240" s="33"/>
    </row>
    <row r="241" spans="2:7" x14ac:dyDescent="0.2">
      <c r="B241" s="32"/>
      <c r="C241" s="33"/>
      <c r="F241" s="33"/>
      <c r="G241" s="33"/>
    </row>
    <row r="242" spans="2:7" x14ac:dyDescent="0.2">
      <c r="B242" s="32"/>
      <c r="C242" s="33"/>
      <c r="F242" s="33"/>
      <c r="G242" s="33"/>
    </row>
    <row r="243" spans="2:7" x14ac:dyDescent="0.2">
      <c r="B243" s="32"/>
      <c r="C243" s="33"/>
      <c r="F243" s="33"/>
      <c r="G243" s="33"/>
    </row>
    <row r="244" spans="2:7" x14ac:dyDescent="0.2">
      <c r="B244" s="32"/>
      <c r="C244" s="33"/>
      <c r="F244" s="33"/>
      <c r="G244" s="33"/>
    </row>
    <row r="245" spans="2:7" x14ac:dyDescent="0.2">
      <c r="B245" s="32"/>
      <c r="C245" s="33"/>
      <c r="F245" s="33"/>
      <c r="G245" s="33"/>
    </row>
    <row r="246" spans="2:7" x14ac:dyDescent="0.2">
      <c r="B246" s="32"/>
      <c r="C246" s="33"/>
      <c r="F246" s="33"/>
      <c r="G246" s="33"/>
    </row>
    <row r="247" spans="2:7" x14ac:dyDescent="0.2">
      <c r="B247" s="32"/>
      <c r="C247" s="33"/>
      <c r="F247" s="33"/>
      <c r="G247" s="33"/>
    </row>
    <row r="248" spans="2:7" x14ac:dyDescent="0.2">
      <c r="B248" s="32"/>
      <c r="C248" s="33"/>
      <c r="F248" s="33"/>
      <c r="G248" s="33"/>
    </row>
    <row r="249" spans="2:7" x14ac:dyDescent="0.2">
      <c r="B249" s="32"/>
      <c r="C249" s="33"/>
      <c r="F249" s="33"/>
      <c r="G249" s="33"/>
    </row>
    <row r="250" spans="2:7" x14ac:dyDescent="0.2">
      <c r="B250" s="32"/>
      <c r="C250" s="33"/>
      <c r="F250" s="33"/>
      <c r="G250" s="33"/>
    </row>
    <row r="251" spans="2:7" x14ac:dyDescent="0.2">
      <c r="B251" s="32"/>
      <c r="C251" s="33"/>
      <c r="F251" s="33"/>
      <c r="G251" s="33"/>
    </row>
    <row r="252" spans="2:7" x14ac:dyDescent="0.2">
      <c r="B252" s="32"/>
      <c r="C252" s="33"/>
      <c r="F252" s="33"/>
      <c r="G252" s="33"/>
    </row>
    <row r="253" spans="2:7" x14ac:dyDescent="0.2">
      <c r="B253" s="32"/>
      <c r="C253" s="33"/>
      <c r="F253" s="33"/>
      <c r="G253" s="33"/>
    </row>
    <row r="254" spans="2:7" x14ac:dyDescent="0.2">
      <c r="B254" s="32"/>
      <c r="C254" s="33"/>
      <c r="F254" s="33"/>
      <c r="G254" s="33"/>
    </row>
    <row r="255" spans="2:7" x14ac:dyDescent="0.2">
      <c r="B255" s="32"/>
      <c r="C255" s="33"/>
      <c r="F255" s="33"/>
      <c r="G255" s="33"/>
    </row>
    <row r="256" spans="2:7" x14ac:dyDescent="0.2">
      <c r="B256" s="32"/>
      <c r="C256" s="33"/>
      <c r="F256" s="33"/>
      <c r="G256" s="33"/>
    </row>
    <row r="257" spans="2:7" x14ac:dyDescent="0.2">
      <c r="B257" s="32"/>
      <c r="C257" s="33"/>
      <c r="F257" s="33"/>
      <c r="G257" s="33"/>
    </row>
    <row r="258" spans="2:7" x14ac:dyDescent="0.2">
      <c r="B258" s="32"/>
      <c r="C258" s="33"/>
      <c r="F258" s="33"/>
      <c r="G258" s="33"/>
    </row>
    <row r="259" spans="2:7" x14ac:dyDescent="0.2">
      <c r="B259" s="32"/>
      <c r="C259" s="33"/>
      <c r="F259" s="33"/>
      <c r="G259" s="33"/>
    </row>
    <row r="260" spans="2:7" x14ac:dyDescent="0.2">
      <c r="B260" s="32"/>
      <c r="C260" s="33"/>
      <c r="F260" s="33"/>
      <c r="G260" s="33"/>
    </row>
    <row r="261" spans="2:7" x14ac:dyDescent="0.2">
      <c r="B261" s="32"/>
      <c r="C261" s="33"/>
      <c r="F261" s="33"/>
      <c r="G261" s="33"/>
    </row>
    <row r="262" spans="2:7" x14ac:dyDescent="0.2">
      <c r="B262" s="32"/>
      <c r="C262" s="33"/>
      <c r="F262" s="33"/>
      <c r="G262" s="33"/>
    </row>
    <row r="263" spans="2:7" x14ac:dyDescent="0.2">
      <c r="B263" s="32"/>
      <c r="C263" s="33"/>
      <c r="F263" s="33"/>
      <c r="G263" s="33"/>
    </row>
    <row r="264" spans="2:7" x14ac:dyDescent="0.2">
      <c r="B264" s="32"/>
      <c r="C264" s="33"/>
      <c r="F264" s="33"/>
      <c r="G264" s="33"/>
    </row>
    <row r="265" spans="2:7" x14ac:dyDescent="0.2">
      <c r="B265" s="32"/>
      <c r="C265" s="33"/>
      <c r="F265" s="33"/>
      <c r="G265" s="33"/>
    </row>
    <row r="266" spans="2:7" x14ac:dyDescent="0.2">
      <c r="B266" s="32"/>
      <c r="C266" s="33"/>
      <c r="F266" s="33"/>
      <c r="G266" s="33"/>
    </row>
    <row r="267" spans="2:7" x14ac:dyDescent="0.2">
      <c r="B267" s="32"/>
      <c r="C267" s="33"/>
      <c r="F267" s="33"/>
      <c r="G267" s="33"/>
    </row>
    <row r="268" spans="2:7" x14ac:dyDescent="0.2">
      <c r="B268" s="32"/>
      <c r="C268" s="33"/>
      <c r="F268" s="33"/>
      <c r="G268" s="33"/>
    </row>
    <row r="269" spans="2:7" x14ac:dyDescent="0.2">
      <c r="B269" s="32"/>
      <c r="C269" s="33"/>
      <c r="F269" s="33"/>
      <c r="G269" s="33"/>
    </row>
    <row r="270" spans="2:7" x14ac:dyDescent="0.2">
      <c r="B270" s="32"/>
      <c r="C270" s="33"/>
      <c r="F270" s="33"/>
      <c r="G270" s="33"/>
    </row>
    <row r="271" spans="2:7" x14ac:dyDescent="0.2">
      <c r="B271" s="32"/>
      <c r="C271" s="33"/>
      <c r="F271" s="33"/>
      <c r="G271" s="33"/>
    </row>
    <row r="272" spans="2:7" x14ac:dyDescent="0.2">
      <c r="B272" s="32"/>
      <c r="C272" s="33"/>
      <c r="F272" s="33"/>
      <c r="G272" s="33"/>
    </row>
    <row r="273" spans="2:7" x14ac:dyDescent="0.2">
      <c r="B273" s="32"/>
      <c r="C273" s="33"/>
      <c r="F273" s="33"/>
      <c r="G273" s="33"/>
    </row>
    <row r="274" spans="2:7" x14ac:dyDescent="0.2">
      <c r="B274" s="32"/>
      <c r="C274" s="33"/>
      <c r="F274" s="33"/>
      <c r="G274" s="33"/>
    </row>
    <row r="275" spans="2:7" x14ac:dyDescent="0.2">
      <c r="B275" s="32"/>
      <c r="C275" s="33"/>
      <c r="F275" s="33"/>
      <c r="G275" s="33"/>
    </row>
    <row r="276" spans="2:7" x14ac:dyDescent="0.2">
      <c r="B276" s="32"/>
      <c r="C276" s="33"/>
      <c r="F276" s="33"/>
      <c r="G276" s="33"/>
    </row>
    <row r="277" spans="2:7" x14ac:dyDescent="0.2">
      <c r="B277" s="32"/>
      <c r="C277" s="33"/>
      <c r="F277" s="33"/>
      <c r="G277" s="33"/>
    </row>
    <row r="278" spans="2:7" x14ac:dyDescent="0.2">
      <c r="B278" s="32"/>
      <c r="C278" s="33"/>
      <c r="F278" s="33"/>
      <c r="G278" s="33"/>
    </row>
    <row r="279" spans="2:7" x14ac:dyDescent="0.2">
      <c r="B279" s="32"/>
      <c r="C279" s="33"/>
      <c r="F279" s="33"/>
      <c r="G279" s="33"/>
    </row>
    <row r="280" spans="2:7" x14ac:dyDescent="0.2">
      <c r="B280" s="32"/>
      <c r="C280" s="33"/>
      <c r="F280" s="33"/>
      <c r="G280" s="33"/>
    </row>
    <row r="281" spans="2:7" x14ac:dyDescent="0.2">
      <c r="B281" s="32"/>
      <c r="C281" s="33"/>
      <c r="F281" s="33"/>
      <c r="G281" s="33"/>
    </row>
    <row r="282" spans="2:7" x14ac:dyDescent="0.2">
      <c r="B282" s="32"/>
      <c r="C282" s="33"/>
      <c r="F282" s="33"/>
      <c r="G282" s="33"/>
    </row>
    <row r="283" spans="2:7" x14ac:dyDescent="0.2">
      <c r="B283" s="32"/>
      <c r="C283" s="33"/>
      <c r="F283" s="33"/>
      <c r="G283" s="33"/>
    </row>
    <row r="284" spans="2:7" x14ac:dyDescent="0.2">
      <c r="B284" s="32"/>
      <c r="C284" s="33"/>
      <c r="F284" s="33"/>
      <c r="G284" s="33"/>
    </row>
    <row r="285" spans="2:7" x14ac:dyDescent="0.2">
      <c r="B285" s="32"/>
      <c r="C285" s="33"/>
      <c r="F285" s="33"/>
      <c r="G285" s="33"/>
    </row>
    <row r="286" spans="2:7" x14ac:dyDescent="0.2">
      <c r="B286" s="32"/>
      <c r="C286" s="33"/>
      <c r="F286" s="33"/>
      <c r="G286" s="33"/>
    </row>
    <row r="287" spans="2:7" x14ac:dyDescent="0.2">
      <c r="B287" s="32"/>
      <c r="C287" s="33"/>
      <c r="F287" s="33"/>
      <c r="G287" s="33"/>
    </row>
    <row r="288" spans="2:7" x14ac:dyDescent="0.2">
      <c r="B288" s="32"/>
      <c r="C288" s="33"/>
      <c r="F288" s="33"/>
      <c r="G288" s="33"/>
    </row>
    <row r="289" spans="2:7" x14ac:dyDescent="0.2">
      <c r="B289" s="32"/>
      <c r="C289" s="33"/>
      <c r="F289" s="33"/>
      <c r="G289" s="33"/>
    </row>
    <row r="290" spans="2:7" x14ac:dyDescent="0.2">
      <c r="B290" s="32"/>
      <c r="C290" s="33"/>
      <c r="F290" s="33"/>
      <c r="G290" s="33"/>
    </row>
    <row r="291" spans="2:7" x14ac:dyDescent="0.2">
      <c r="B291" s="32"/>
      <c r="C291" s="33"/>
      <c r="F291" s="33"/>
      <c r="G291" s="33"/>
    </row>
    <row r="292" spans="2:7" x14ac:dyDescent="0.2">
      <c r="B292" s="32"/>
      <c r="C292" s="33"/>
      <c r="F292" s="33"/>
      <c r="G292" s="33"/>
    </row>
    <row r="293" spans="2:7" x14ac:dyDescent="0.2">
      <c r="B293" s="32"/>
      <c r="C293" s="33"/>
      <c r="F293" s="33"/>
      <c r="G293" s="33"/>
    </row>
    <row r="294" spans="2:7" x14ac:dyDescent="0.2">
      <c r="B294" s="32"/>
      <c r="C294" s="33"/>
      <c r="F294" s="33"/>
      <c r="G294" s="33"/>
    </row>
    <row r="295" spans="2:7" x14ac:dyDescent="0.2">
      <c r="B295" s="32"/>
      <c r="C295" s="33"/>
      <c r="F295" s="33"/>
      <c r="G295" s="33"/>
    </row>
    <row r="296" spans="2:7" x14ac:dyDescent="0.2">
      <c r="B296" s="32"/>
      <c r="C296" s="33"/>
      <c r="F296" s="33"/>
      <c r="G296" s="33"/>
    </row>
    <row r="297" spans="2:7" x14ac:dyDescent="0.2">
      <c r="B297" s="32"/>
      <c r="C297" s="33"/>
      <c r="F297" s="33"/>
      <c r="G297" s="33"/>
    </row>
    <row r="298" spans="2:7" x14ac:dyDescent="0.2">
      <c r="B298" s="32"/>
      <c r="C298" s="33"/>
      <c r="F298" s="33"/>
      <c r="G298" s="33"/>
    </row>
    <row r="299" spans="2:7" x14ac:dyDescent="0.2">
      <c r="B299" s="32"/>
      <c r="C299" s="33"/>
      <c r="F299" s="33"/>
      <c r="G299" s="33"/>
    </row>
    <row r="300" spans="2:7" x14ac:dyDescent="0.2">
      <c r="B300" s="32"/>
      <c r="C300" s="33"/>
      <c r="F300" s="33"/>
      <c r="G300" s="33"/>
    </row>
    <row r="301" spans="2:7" x14ac:dyDescent="0.2">
      <c r="B301" s="32"/>
      <c r="C301" s="33"/>
      <c r="F301" s="33"/>
      <c r="G301" s="33"/>
    </row>
    <row r="302" spans="2:7" x14ac:dyDescent="0.2">
      <c r="B302" s="32"/>
      <c r="C302" s="33"/>
      <c r="F302" s="33"/>
      <c r="G302" s="33"/>
    </row>
    <row r="303" spans="2:7" x14ac:dyDescent="0.2">
      <c r="B303" s="32"/>
      <c r="C303" s="33"/>
      <c r="F303" s="33"/>
      <c r="G303" s="33"/>
    </row>
    <row r="304" spans="2:7" x14ac:dyDescent="0.2">
      <c r="B304" s="32"/>
      <c r="C304" s="33"/>
      <c r="F304" s="33"/>
      <c r="G304" s="33"/>
    </row>
    <row r="305" spans="2:7" x14ac:dyDescent="0.2">
      <c r="B305" s="32"/>
      <c r="C305" s="33"/>
      <c r="F305" s="33"/>
      <c r="G305" s="33"/>
    </row>
    <row r="306" spans="2:7" x14ac:dyDescent="0.2">
      <c r="B306" s="32"/>
      <c r="C306" s="33"/>
      <c r="F306" s="33"/>
      <c r="G306" s="33"/>
    </row>
    <row r="307" spans="2:7" x14ac:dyDescent="0.2">
      <c r="B307" s="32"/>
      <c r="C307" s="33"/>
      <c r="F307" s="33"/>
      <c r="G307" s="33"/>
    </row>
    <row r="308" spans="2:7" x14ac:dyDescent="0.2">
      <c r="B308" s="32"/>
      <c r="C308" s="33"/>
      <c r="F308" s="33"/>
      <c r="G308" s="33"/>
    </row>
    <row r="309" spans="2:7" x14ac:dyDescent="0.2">
      <c r="B309" s="32"/>
      <c r="C309" s="33"/>
      <c r="F309" s="33"/>
      <c r="G309" s="33"/>
    </row>
    <row r="310" spans="2:7" x14ac:dyDescent="0.2">
      <c r="B310" s="32"/>
      <c r="C310" s="33"/>
      <c r="F310" s="33"/>
      <c r="G310" s="33"/>
    </row>
    <row r="311" spans="2:7" x14ac:dyDescent="0.2">
      <c r="B311" s="32"/>
      <c r="C311" s="33"/>
      <c r="F311" s="33"/>
      <c r="G311" s="33"/>
    </row>
    <row r="312" spans="2:7" x14ac:dyDescent="0.2">
      <c r="B312" s="32"/>
      <c r="C312" s="33"/>
      <c r="F312" s="33"/>
      <c r="G312" s="33"/>
    </row>
    <row r="313" spans="2:7" x14ac:dyDescent="0.2">
      <c r="B313" s="32"/>
      <c r="C313" s="33"/>
      <c r="F313" s="33"/>
      <c r="G313" s="33"/>
    </row>
    <row r="314" spans="2:7" x14ac:dyDescent="0.2">
      <c r="B314" s="32"/>
      <c r="C314" s="33"/>
      <c r="F314" s="33"/>
      <c r="G314" s="33"/>
    </row>
    <row r="315" spans="2:7" x14ac:dyDescent="0.2">
      <c r="B315" s="32"/>
      <c r="C315" s="33"/>
      <c r="F315" s="33"/>
      <c r="G315" s="33"/>
    </row>
    <row r="316" spans="2:7" x14ac:dyDescent="0.2">
      <c r="B316" s="32"/>
      <c r="C316" s="33"/>
      <c r="F316" s="33"/>
      <c r="G316" s="33"/>
    </row>
    <row r="317" spans="2:7" x14ac:dyDescent="0.2">
      <c r="B317" s="32"/>
      <c r="C317" s="33"/>
      <c r="F317" s="33"/>
      <c r="G317" s="33"/>
    </row>
    <row r="318" spans="2:7" x14ac:dyDescent="0.2">
      <c r="B318" s="32"/>
      <c r="C318" s="33"/>
      <c r="F318" s="33"/>
      <c r="G318" s="33"/>
    </row>
    <row r="319" spans="2:7" x14ac:dyDescent="0.2">
      <c r="B319" s="32"/>
      <c r="C319" s="33"/>
      <c r="F319" s="33"/>
      <c r="G319" s="33"/>
    </row>
    <row r="320" spans="2:7" x14ac:dyDescent="0.2">
      <c r="B320" s="32"/>
      <c r="C320" s="33"/>
      <c r="F320" s="33"/>
      <c r="G320" s="33"/>
    </row>
    <row r="321" spans="2:7" x14ac:dyDescent="0.2">
      <c r="B321" s="32"/>
      <c r="C321" s="33"/>
      <c r="F321" s="33"/>
      <c r="G321" s="33"/>
    </row>
    <row r="322" spans="2:7" x14ac:dyDescent="0.2">
      <c r="B322" s="32"/>
      <c r="C322" s="33"/>
      <c r="F322" s="33"/>
      <c r="G322" s="33"/>
    </row>
    <row r="323" spans="2:7" x14ac:dyDescent="0.2">
      <c r="B323" s="32"/>
      <c r="C323" s="33"/>
      <c r="F323" s="33"/>
      <c r="G323" s="33"/>
    </row>
    <row r="324" spans="2:7" x14ac:dyDescent="0.2">
      <c r="B324" s="32"/>
      <c r="C324" s="33"/>
      <c r="F324" s="33"/>
      <c r="G324" s="33"/>
    </row>
    <row r="325" spans="2:7" x14ac:dyDescent="0.2">
      <c r="B325" s="32"/>
      <c r="C325" s="33"/>
      <c r="F325" s="33"/>
      <c r="G325" s="33"/>
    </row>
    <row r="326" spans="2:7" x14ac:dyDescent="0.2">
      <c r="B326" s="32"/>
      <c r="C326" s="33"/>
      <c r="F326" s="33"/>
      <c r="G326" s="33"/>
    </row>
    <row r="327" spans="2:7" x14ac:dyDescent="0.2">
      <c r="B327" s="32"/>
      <c r="C327" s="33"/>
      <c r="F327" s="33"/>
      <c r="G327" s="33"/>
    </row>
    <row r="328" spans="2:7" x14ac:dyDescent="0.2">
      <c r="B328" s="32"/>
      <c r="C328" s="33"/>
      <c r="F328" s="33"/>
      <c r="G328" s="33"/>
    </row>
    <row r="329" spans="2:7" x14ac:dyDescent="0.2">
      <c r="B329" s="32"/>
      <c r="C329" s="33"/>
      <c r="F329" s="33"/>
      <c r="G329" s="33"/>
    </row>
    <row r="330" spans="2:7" x14ac:dyDescent="0.2">
      <c r="B330" s="32"/>
      <c r="C330" s="33"/>
      <c r="F330" s="33"/>
      <c r="G330" s="33"/>
    </row>
    <row r="331" spans="2:7" x14ac:dyDescent="0.2">
      <c r="B331" s="32"/>
      <c r="C331" s="33"/>
      <c r="F331" s="33"/>
      <c r="G331" s="33"/>
    </row>
    <row r="332" spans="2:7" x14ac:dyDescent="0.2">
      <c r="B332" s="32"/>
      <c r="C332" s="33"/>
      <c r="F332" s="33"/>
      <c r="G332" s="33"/>
    </row>
    <row r="333" spans="2:7" x14ac:dyDescent="0.2">
      <c r="B333" s="32"/>
      <c r="C333" s="33"/>
      <c r="F333" s="33"/>
      <c r="G333" s="33"/>
    </row>
    <row r="334" spans="2:7" x14ac:dyDescent="0.2">
      <c r="B334" s="32"/>
      <c r="C334" s="33"/>
      <c r="F334" s="33"/>
      <c r="G334" s="33"/>
    </row>
    <row r="335" spans="2:7" x14ac:dyDescent="0.2">
      <c r="B335" s="32"/>
      <c r="C335" s="33"/>
      <c r="F335" s="33"/>
      <c r="G335" s="33"/>
    </row>
    <row r="336" spans="2:7" x14ac:dyDescent="0.2">
      <c r="B336" s="32"/>
      <c r="C336" s="33"/>
      <c r="F336" s="33"/>
      <c r="G336" s="33"/>
    </row>
    <row r="337" spans="2:7" x14ac:dyDescent="0.2">
      <c r="B337" s="32"/>
      <c r="C337" s="33"/>
      <c r="F337" s="33"/>
      <c r="G337" s="33"/>
    </row>
    <row r="338" spans="2:7" x14ac:dyDescent="0.2">
      <c r="B338" s="32"/>
      <c r="C338" s="33"/>
      <c r="F338" s="33"/>
      <c r="G338" s="33"/>
    </row>
    <row r="339" spans="2:7" x14ac:dyDescent="0.2">
      <c r="B339" s="32"/>
      <c r="C339" s="33"/>
      <c r="F339" s="33"/>
      <c r="G339" s="33"/>
    </row>
    <row r="340" spans="2:7" x14ac:dyDescent="0.2">
      <c r="B340" s="32"/>
      <c r="C340" s="33"/>
      <c r="F340" s="33"/>
      <c r="G340" s="33"/>
    </row>
    <row r="341" spans="2:7" x14ac:dyDescent="0.2">
      <c r="B341" s="32"/>
      <c r="C341" s="33"/>
      <c r="F341" s="33"/>
      <c r="G341" s="33"/>
    </row>
    <row r="342" spans="2:7" x14ac:dyDescent="0.2">
      <c r="B342" s="32"/>
      <c r="C342" s="33"/>
      <c r="F342" s="33"/>
      <c r="G342" s="33"/>
    </row>
    <row r="343" spans="2:7" x14ac:dyDescent="0.2">
      <c r="B343" s="32"/>
      <c r="C343" s="33"/>
      <c r="F343" s="33"/>
      <c r="G343" s="33"/>
    </row>
    <row r="344" spans="2:7" x14ac:dyDescent="0.2">
      <c r="B344" s="32"/>
      <c r="C344" s="33"/>
      <c r="F344" s="33"/>
      <c r="G344" s="33"/>
    </row>
    <row r="345" spans="2:7" x14ac:dyDescent="0.2">
      <c r="B345" s="32"/>
      <c r="C345" s="33"/>
      <c r="F345" s="33"/>
      <c r="G345" s="33"/>
    </row>
    <row r="346" spans="2:7" x14ac:dyDescent="0.2">
      <c r="B346" s="32"/>
      <c r="C346" s="33"/>
      <c r="F346" s="33"/>
      <c r="G346" s="33"/>
    </row>
    <row r="347" spans="2:7" x14ac:dyDescent="0.2">
      <c r="B347" s="32"/>
      <c r="C347" s="33"/>
      <c r="F347" s="33"/>
      <c r="G347" s="33"/>
    </row>
    <row r="348" spans="2:7" x14ac:dyDescent="0.2">
      <c r="B348" s="32"/>
      <c r="C348" s="33"/>
      <c r="F348" s="33"/>
      <c r="G348" s="33"/>
    </row>
    <row r="349" spans="2:7" x14ac:dyDescent="0.2">
      <c r="B349" s="32"/>
      <c r="C349" s="33"/>
      <c r="F349" s="33"/>
      <c r="G349" s="33"/>
    </row>
    <row r="350" spans="2:7" x14ac:dyDescent="0.2">
      <c r="B350" s="32"/>
      <c r="C350" s="33"/>
      <c r="F350" s="33"/>
      <c r="G350" s="33"/>
    </row>
    <row r="351" spans="2:7" x14ac:dyDescent="0.2">
      <c r="B351" s="32"/>
      <c r="C351" s="33"/>
      <c r="F351" s="33"/>
      <c r="G351" s="33"/>
    </row>
    <row r="352" spans="2:7" x14ac:dyDescent="0.2">
      <c r="B352" s="32"/>
      <c r="C352" s="33"/>
      <c r="F352" s="33"/>
      <c r="G352" s="33"/>
    </row>
    <row r="353" spans="2:7" x14ac:dyDescent="0.2">
      <c r="B353" s="32"/>
      <c r="C353" s="33"/>
      <c r="F353" s="33"/>
      <c r="G353" s="33"/>
    </row>
    <row r="354" spans="2:7" x14ac:dyDescent="0.2">
      <c r="B354" s="32"/>
      <c r="C354" s="33"/>
      <c r="F354" s="33"/>
      <c r="G354" s="33"/>
    </row>
    <row r="355" spans="2:7" x14ac:dyDescent="0.2">
      <c r="B355" s="32"/>
      <c r="C355" s="33"/>
      <c r="F355" s="33"/>
      <c r="G355" s="33"/>
    </row>
    <row r="356" spans="2:7" x14ac:dyDescent="0.2">
      <c r="B356" s="32"/>
      <c r="C356" s="33"/>
      <c r="F356" s="33"/>
      <c r="G356" s="33"/>
    </row>
    <row r="357" spans="2:7" x14ac:dyDescent="0.2">
      <c r="B357" s="32"/>
      <c r="C357" s="33"/>
      <c r="F357" s="33"/>
      <c r="G357" s="33"/>
    </row>
    <row r="358" spans="2:7" x14ac:dyDescent="0.2">
      <c r="B358" s="32"/>
      <c r="C358" s="33"/>
      <c r="F358" s="33"/>
      <c r="G358" s="33"/>
    </row>
    <row r="359" spans="2:7" x14ac:dyDescent="0.2">
      <c r="B359" s="32"/>
      <c r="C359" s="33"/>
      <c r="F359" s="33"/>
      <c r="G359" s="33"/>
    </row>
    <row r="360" spans="2:7" x14ac:dyDescent="0.2">
      <c r="B360" s="32"/>
      <c r="C360" s="33"/>
      <c r="F360" s="33"/>
      <c r="G360" s="33"/>
    </row>
    <row r="361" spans="2:7" x14ac:dyDescent="0.2">
      <c r="B361" s="32"/>
      <c r="C361" s="33"/>
      <c r="F361" s="33"/>
      <c r="G361" s="33"/>
    </row>
    <row r="362" spans="2:7" x14ac:dyDescent="0.2">
      <c r="B362" s="32"/>
      <c r="C362" s="33"/>
      <c r="F362" s="33"/>
      <c r="G362" s="33"/>
    </row>
    <row r="363" spans="2:7" x14ac:dyDescent="0.2">
      <c r="B363" s="32"/>
      <c r="C363" s="33"/>
      <c r="F363" s="33"/>
      <c r="G363" s="33"/>
    </row>
    <row r="364" spans="2:7" x14ac:dyDescent="0.2">
      <c r="B364" s="32"/>
      <c r="C364" s="33"/>
      <c r="F364" s="33"/>
      <c r="G364" s="33"/>
    </row>
    <row r="365" spans="2:7" x14ac:dyDescent="0.2">
      <c r="B365" s="32"/>
      <c r="C365" s="33"/>
      <c r="F365" s="33"/>
      <c r="G365" s="33"/>
    </row>
    <row r="366" spans="2:7" x14ac:dyDescent="0.2">
      <c r="B366" s="32"/>
      <c r="C366" s="33"/>
      <c r="F366" s="33"/>
      <c r="G366" s="33"/>
    </row>
    <row r="367" spans="2:7" x14ac:dyDescent="0.2">
      <c r="B367" s="32"/>
      <c r="C367" s="33"/>
      <c r="F367" s="33"/>
      <c r="G367" s="33"/>
    </row>
    <row r="368" spans="2:7" x14ac:dyDescent="0.2">
      <c r="B368" s="32"/>
      <c r="C368" s="33"/>
      <c r="F368" s="33"/>
      <c r="G368" s="33"/>
    </row>
    <row r="369" spans="2:7" x14ac:dyDescent="0.2">
      <c r="B369" s="32"/>
      <c r="C369" s="33"/>
      <c r="F369" s="33"/>
      <c r="G369" s="33"/>
    </row>
    <row r="370" spans="2:7" x14ac:dyDescent="0.2">
      <c r="B370" s="32"/>
      <c r="C370" s="33"/>
      <c r="F370" s="33"/>
      <c r="G370" s="33"/>
    </row>
    <row r="371" spans="2:7" x14ac:dyDescent="0.2">
      <c r="B371" s="32"/>
      <c r="C371" s="33"/>
      <c r="F371" s="33"/>
      <c r="G371" s="33"/>
    </row>
    <row r="372" spans="2:7" x14ac:dyDescent="0.2">
      <c r="B372" s="32"/>
      <c r="C372" s="33"/>
      <c r="F372" s="33"/>
      <c r="G372" s="33"/>
    </row>
    <row r="373" spans="2:7" x14ac:dyDescent="0.2">
      <c r="B373" s="32"/>
      <c r="C373" s="33"/>
      <c r="F373" s="33"/>
      <c r="G373" s="33"/>
    </row>
    <row r="374" spans="2:7" x14ac:dyDescent="0.2">
      <c r="B374" s="32"/>
      <c r="C374" s="33"/>
      <c r="F374" s="33"/>
      <c r="G374" s="33"/>
    </row>
    <row r="375" spans="2:7" x14ac:dyDescent="0.2">
      <c r="B375" s="32"/>
      <c r="C375" s="33"/>
      <c r="F375" s="33"/>
      <c r="G375" s="33"/>
    </row>
    <row r="376" spans="2:7" x14ac:dyDescent="0.2">
      <c r="B376" s="32"/>
      <c r="C376" s="33"/>
      <c r="F376" s="33"/>
      <c r="G376" s="33"/>
    </row>
    <row r="377" spans="2:7" x14ac:dyDescent="0.2">
      <c r="B377" s="32"/>
      <c r="C377" s="33"/>
      <c r="F377" s="33"/>
      <c r="G377" s="33"/>
    </row>
    <row r="378" spans="2:7" x14ac:dyDescent="0.2">
      <c r="B378" s="32"/>
      <c r="C378" s="33"/>
      <c r="F378" s="33"/>
      <c r="G378" s="33"/>
    </row>
    <row r="379" spans="2:7" x14ac:dyDescent="0.2">
      <c r="B379" s="32"/>
      <c r="C379" s="33"/>
      <c r="F379" s="33"/>
      <c r="G379" s="33"/>
    </row>
    <row r="380" spans="2:7" x14ac:dyDescent="0.2">
      <c r="B380" s="32"/>
      <c r="C380" s="33"/>
      <c r="F380" s="33"/>
      <c r="G380" s="33"/>
    </row>
    <row r="381" spans="2:7" x14ac:dyDescent="0.2">
      <c r="B381" s="32"/>
      <c r="C381" s="33"/>
      <c r="F381" s="33"/>
      <c r="G381" s="33"/>
    </row>
    <row r="382" spans="2:7" x14ac:dyDescent="0.2">
      <c r="B382" s="32"/>
      <c r="C382" s="33"/>
      <c r="F382" s="33"/>
      <c r="G382" s="33"/>
    </row>
    <row r="383" spans="2:7" x14ac:dyDescent="0.2">
      <c r="B383" s="32"/>
      <c r="C383" s="33"/>
      <c r="F383" s="33"/>
      <c r="G383" s="33"/>
    </row>
    <row r="384" spans="2:7" x14ac:dyDescent="0.2">
      <c r="B384" s="32"/>
      <c r="C384" s="33"/>
      <c r="F384" s="33"/>
      <c r="G384" s="33"/>
    </row>
    <row r="385" spans="2:7" x14ac:dyDescent="0.2">
      <c r="B385" s="32"/>
      <c r="C385" s="33"/>
      <c r="F385" s="33"/>
      <c r="G385" s="33"/>
    </row>
    <row r="386" spans="2:7" x14ac:dyDescent="0.2">
      <c r="B386" s="32"/>
      <c r="C386" s="33"/>
      <c r="F386" s="33"/>
      <c r="G386" s="33"/>
    </row>
    <row r="387" spans="2:7" x14ac:dyDescent="0.2">
      <c r="B387" s="32"/>
      <c r="C387" s="33"/>
      <c r="F387" s="33"/>
      <c r="G387" s="33"/>
    </row>
    <row r="388" spans="2:7" x14ac:dyDescent="0.2">
      <c r="B388" s="32"/>
      <c r="C388" s="33"/>
      <c r="F388" s="33"/>
      <c r="G388" s="33"/>
    </row>
    <row r="389" spans="2:7" x14ac:dyDescent="0.2">
      <c r="B389" s="32"/>
      <c r="C389" s="33"/>
      <c r="F389" s="33"/>
      <c r="G389" s="33"/>
    </row>
    <row r="390" spans="2:7" x14ac:dyDescent="0.2">
      <c r="B390" s="32"/>
      <c r="C390" s="33"/>
      <c r="F390" s="33"/>
      <c r="G390" s="33"/>
    </row>
    <row r="391" spans="2:7" x14ac:dyDescent="0.2">
      <c r="B391" s="32"/>
      <c r="C391" s="33"/>
      <c r="F391" s="33"/>
      <c r="G391" s="33"/>
    </row>
    <row r="392" spans="2:7" x14ac:dyDescent="0.2">
      <c r="B392" s="32"/>
      <c r="C392" s="33"/>
      <c r="F392" s="33"/>
      <c r="G392" s="33"/>
    </row>
    <row r="393" spans="2:7" x14ac:dyDescent="0.2">
      <c r="B393" s="32"/>
      <c r="C393" s="33"/>
      <c r="F393" s="33"/>
      <c r="G393" s="33"/>
    </row>
    <row r="394" spans="2:7" x14ac:dyDescent="0.2">
      <c r="B394" s="32"/>
      <c r="C394" s="33"/>
      <c r="F394" s="33"/>
      <c r="G394" s="33"/>
    </row>
    <row r="395" spans="2:7" x14ac:dyDescent="0.2">
      <c r="B395" s="32"/>
      <c r="C395" s="33"/>
      <c r="F395" s="33"/>
      <c r="G395" s="33"/>
    </row>
    <row r="396" spans="2:7" x14ac:dyDescent="0.2">
      <c r="B396" s="32"/>
      <c r="C396" s="33"/>
      <c r="F396" s="33"/>
      <c r="G396" s="33"/>
    </row>
    <row r="397" spans="2:7" x14ac:dyDescent="0.2">
      <c r="B397" s="32"/>
      <c r="C397" s="33"/>
      <c r="F397" s="33"/>
      <c r="G397" s="33"/>
    </row>
    <row r="398" spans="2:7" x14ac:dyDescent="0.2">
      <c r="B398" s="32"/>
      <c r="C398" s="33"/>
      <c r="F398" s="33"/>
      <c r="G398" s="33"/>
    </row>
    <row r="399" spans="2:7" x14ac:dyDescent="0.2">
      <c r="B399" s="32"/>
      <c r="C399" s="33"/>
      <c r="F399" s="33"/>
      <c r="G399" s="33"/>
    </row>
    <row r="400" spans="2:7" x14ac:dyDescent="0.2">
      <c r="B400" s="32"/>
      <c r="C400" s="33"/>
      <c r="F400" s="33"/>
      <c r="G400" s="33"/>
    </row>
    <row r="401" spans="2:7" x14ac:dyDescent="0.2">
      <c r="B401" s="32"/>
      <c r="C401" s="33"/>
      <c r="F401" s="33"/>
      <c r="G401" s="33"/>
    </row>
    <row r="402" spans="2:7" x14ac:dyDescent="0.2">
      <c r="B402" s="32"/>
      <c r="C402" s="33"/>
      <c r="F402" s="33"/>
      <c r="G402" s="33"/>
    </row>
    <row r="403" spans="2:7" x14ac:dyDescent="0.2">
      <c r="B403" s="32"/>
      <c r="C403" s="33"/>
      <c r="F403" s="33"/>
      <c r="G403" s="33"/>
    </row>
    <row r="404" spans="2:7" x14ac:dyDescent="0.2">
      <c r="B404" s="32"/>
      <c r="C404" s="33"/>
      <c r="F404" s="33"/>
      <c r="G404" s="33"/>
    </row>
    <row r="405" spans="2:7" x14ac:dyDescent="0.2">
      <c r="B405" s="32"/>
      <c r="C405" s="33"/>
      <c r="F405" s="33"/>
      <c r="G405" s="33"/>
    </row>
    <row r="406" spans="2:7" x14ac:dyDescent="0.2">
      <c r="B406" s="32"/>
      <c r="C406" s="33"/>
      <c r="F406" s="33"/>
      <c r="G406" s="33"/>
    </row>
    <row r="407" spans="2:7" x14ac:dyDescent="0.2">
      <c r="B407" s="32"/>
      <c r="C407" s="33"/>
      <c r="F407" s="33"/>
      <c r="G407" s="33"/>
    </row>
    <row r="408" spans="2:7" x14ac:dyDescent="0.2">
      <c r="B408" s="32"/>
      <c r="C408" s="33"/>
      <c r="F408" s="33"/>
      <c r="G408" s="33"/>
    </row>
    <row r="409" spans="2:7" x14ac:dyDescent="0.2">
      <c r="B409" s="32"/>
      <c r="C409" s="33"/>
      <c r="F409" s="33"/>
      <c r="G409" s="33"/>
    </row>
    <row r="410" spans="2:7" x14ac:dyDescent="0.2">
      <c r="B410" s="32"/>
      <c r="C410" s="33"/>
      <c r="F410" s="33"/>
      <c r="G410" s="33"/>
    </row>
    <row r="411" spans="2:7" x14ac:dyDescent="0.2">
      <c r="B411" s="32"/>
      <c r="C411" s="33"/>
      <c r="F411" s="33"/>
      <c r="G411" s="33"/>
    </row>
    <row r="412" spans="2:7" x14ac:dyDescent="0.2">
      <c r="B412" s="32"/>
      <c r="C412" s="33"/>
      <c r="F412" s="33"/>
      <c r="G412" s="33"/>
    </row>
    <row r="413" spans="2:7" x14ac:dyDescent="0.2">
      <c r="B413" s="32"/>
      <c r="C413" s="33"/>
      <c r="F413" s="33"/>
      <c r="G413" s="33"/>
    </row>
    <row r="414" spans="2:7" x14ac:dyDescent="0.2">
      <c r="B414" s="32"/>
      <c r="C414" s="33"/>
      <c r="F414" s="33"/>
      <c r="G414" s="33"/>
    </row>
    <row r="415" spans="2:7" x14ac:dyDescent="0.2">
      <c r="B415" s="32"/>
      <c r="C415" s="33"/>
      <c r="F415" s="33"/>
      <c r="G415" s="33"/>
    </row>
    <row r="416" spans="2:7" x14ac:dyDescent="0.2">
      <c r="B416" s="32"/>
      <c r="C416" s="33"/>
      <c r="F416" s="33"/>
      <c r="G416" s="33"/>
    </row>
    <row r="417" spans="2:7" x14ac:dyDescent="0.2">
      <c r="B417" s="32"/>
      <c r="C417" s="33"/>
      <c r="F417" s="33"/>
      <c r="G417" s="33"/>
    </row>
    <row r="418" spans="2:7" x14ac:dyDescent="0.2">
      <c r="B418" s="32"/>
      <c r="C418" s="33"/>
      <c r="F418" s="33"/>
      <c r="G418" s="33"/>
    </row>
    <row r="419" spans="2:7" x14ac:dyDescent="0.2">
      <c r="B419" s="32"/>
      <c r="C419" s="33"/>
      <c r="F419" s="33"/>
      <c r="G419" s="33"/>
    </row>
    <row r="420" spans="2:7" x14ac:dyDescent="0.2">
      <c r="B420" s="32"/>
      <c r="C420" s="33"/>
      <c r="F420" s="33"/>
      <c r="G420" s="33"/>
    </row>
    <row r="421" spans="2:7" x14ac:dyDescent="0.2">
      <c r="B421" s="32"/>
      <c r="C421" s="33"/>
      <c r="F421" s="33"/>
      <c r="G421" s="33"/>
    </row>
    <row r="422" spans="2:7" x14ac:dyDescent="0.2">
      <c r="B422" s="32"/>
      <c r="C422" s="33"/>
      <c r="F422" s="33"/>
      <c r="G422" s="33"/>
    </row>
    <row r="423" spans="2:7" x14ac:dyDescent="0.2">
      <c r="B423" s="32"/>
      <c r="C423" s="33"/>
      <c r="F423" s="33"/>
      <c r="G423" s="33"/>
    </row>
    <row r="424" spans="2:7" x14ac:dyDescent="0.2">
      <c r="B424" s="32"/>
      <c r="C424" s="33"/>
      <c r="F424" s="33"/>
      <c r="G424" s="33"/>
    </row>
    <row r="425" spans="2:7" x14ac:dyDescent="0.2">
      <c r="B425" s="32"/>
      <c r="C425" s="33"/>
      <c r="F425" s="33"/>
      <c r="G425" s="33"/>
    </row>
    <row r="426" spans="2:7" x14ac:dyDescent="0.2">
      <c r="B426" s="32"/>
      <c r="C426" s="33"/>
      <c r="F426" s="33"/>
      <c r="G426" s="33"/>
    </row>
    <row r="427" spans="2:7" x14ac:dyDescent="0.2">
      <c r="B427" s="32"/>
      <c r="C427" s="33"/>
      <c r="F427" s="33"/>
      <c r="G427" s="33"/>
    </row>
    <row r="428" spans="2:7" x14ac:dyDescent="0.2">
      <c r="B428" s="32"/>
      <c r="C428" s="33"/>
      <c r="F428" s="33"/>
      <c r="G428" s="33"/>
    </row>
    <row r="429" spans="2:7" x14ac:dyDescent="0.2">
      <c r="B429" s="32"/>
      <c r="C429" s="33"/>
      <c r="F429" s="33"/>
      <c r="G429" s="33"/>
    </row>
    <row r="430" spans="2:7" x14ac:dyDescent="0.2">
      <c r="B430" s="32"/>
      <c r="C430" s="33"/>
      <c r="F430" s="33"/>
      <c r="G430" s="33"/>
    </row>
    <row r="431" spans="2:7" x14ac:dyDescent="0.2">
      <c r="B431" s="32"/>
      <c r="C431" s="33"/>
      <c r="F431" s="33"/>
      <c r="G431" s="33"/>
    </row>
    <row r="432" spans="2:7" x14ac:dyDescent="0.2">
      <c r="B432" s="32"/>
      <c r="C432" s="33"/>
      <c r="F432" s="33"/>
      <c r="G432" s="33"/>
    </row>
    <row r="433" spans="2:7" x14ac:dyDescent="0.2">
      <c r="B433" s="32"/>
      <c r="C433" s="33"/>
      <c r="F433" s="33"/>
      <c r="G433" s="33"/>
    </row>
    <row r="434" spans="2:7" x14ac:dyDescent="0.2">
      <c r="B434" s="32"/>
      <c r="C434" s="33"/>
      <c r="F434" s="33"/>
      <c r="G434" s="33"/>
    </row>
    <row r="435" spans="2:7" x14ac:dyDescent="0.2">
      <c r="B435" s="32"/>
      <c r="C435" s="33"/>
      <c r="F435" s="33"/>
      <c r="G435" s="33"/>
    </row>
    <row r="436" spans="2:7" x14ac:dyDescent="0.2">
      <c r="B436" s="32"/>
      <c r="C436" s="33"/>
      <c r="F436" s="33"/>
      <c r="G436" s="33"/>
    </row>
    <row r="437" spans="2:7" x14ac:dyDescent="0.2">
      <c r="B437" s="32"/>
      <c r="C437" s="33"/>
      <c r="F437" s="33"/>
      <c r="G437" s="33"/>
    </row>
    <row r="438" spans="2:7" x14ac:dyDescent="0.2">
      <c r="B438" s="32"/>
      <c r="C438" s="33"/>
      <c r="F438" s="33"/>
      <c r="G438" s="33"/>
    </row>
    <row r="439" spans="2:7" x14ac:dyDescent="0.2">
      <c r="B439" s="32"/>
      <c r="C439" s="33"/>
      <c r="F439" s="33"/>
      <c r="G439" s="33"/>
    </row>
    <row r="440" spans="2:7" x14ac:dyDescent="0.2">
      <c r="B440" s="32"/>
      <c r="C440" s="33"/>
      <c r="F440" s="33"/>
      <c r="G440" s="33"/>
    </row>
    <row r="441" spans="2:7" x14ac:dyDescent="0.2">
      <c r="B441" s="32"/>
      <c r="C441" s="33"/>
      <c r="F441" s="33"/>
      <c r="G441" s="33"/>
    </row>
    <row r="442" spans="2:7" x14ac:dyDescent="0.2">
      <c r="B442" s="32"/>
      <c r="C442" s="33"/>
      <c r="F442" s="33"/>
      <c r="G442" s="33"/>
    </row>
    <row r="443" spans="2:7" x14ac:dyDescent="0.2">
      <c r="B443" s="32"/>
      <c r="C443" s="33"/>
      <c r="F443" s="33"/>
      <c r="G443" s="33"/>
    </row>
    <row r="444" spans="2:7" x14ac:dyDescent="0.2">
      <c r="B444" s="32"/>
      <c r="C444" s="33"/>
      <c r="F444" s="33"/>
      <c r="G444" s="33"/>
    </row>
    <row r="445" spans="2:7" x14ac:dyDescent="0.2">
      <c r="B445" s="32"/>
      <c r="C445" s="33"/>
      <c r="F445" s="33"/>
      <c r="G445" s="33"/>
    </row>
    <row r="446" spans="2:7" x14ac:dyDescent="0.2">
      <c r="B446" s="32"/>
      <c r="C446" s="33"/>
      <c r="F446" s="33"/>
      <c r="G446" s="33"/>
    </row>
    <row r="447" spans="2:7" x14ac:dyDescent="0.2">
      <c r="B447" s="32"/>
      <c r="C447" s="33"/>
      <c r="F447" s="33"/>
      <c r="G447" s="33"/>
    </row>
    <row r="448" spans="2:7" x14ac:dyDescent="0.2">
      <c r="B448" s="32"/>
      <c r="C448" s="33"/>
      <c r="F448" s="33"/>
      <c r="G448" s="33"/>
    </row>
    <row r="449" spans="2:7" x14ac:dyDescent="0.2">
      <c r="B449" s="32"/>
      <c r="C449" s="33"/>
      <c r="F449" s="33"/>
      <c r="G449" s="33"/>
    </row>
    <row r="450" spans="2:7" x14ac:dyDescent="0.2">
      <c r="B450" s="32"/>
      <c r="C450" s="33"/>
      <c r="F450" s="33"/>
      <c r="G450" s="33"/>
    </row>
    <row r="451" spans="2:7" x14ac:dyDescent="0.2">
      <c r="B451" s="32"/>
      <c r="C451" s="33"/>
      <c r="F451" s="33"/>
      <c r="G451" s="33"/>
    </row>
    <row r="452" spans="2:7" x14ac:dyDescent="0.2">
      <c r="B452" s="32"/>
      <c r="C452" s="33"/>
      <c r="F452" s="33"/>
      <c r="G452" s="33"/>
    </row>
    <row r="453" spans="2:7" x14ac:dyDescent="0.2">
      <c r="B453" s="32"/>
      <c r="C453" s="33"/>
      <c r="F453" s="33"/>
      <c r="G453" s="33"/>
    </row>
    <row r="454" spans="2:7" x14ac:dyDescent="0.2">
      <c r="B454" s="32"/>
      <c r="C454" s="33"/>
      <c r="F454" s="33"/>
      <c r="G454" s="33"/>
    </row>
    <row r="455" spans="2:7" x14ac:dyDescent="0.2">
      <c r="B455" s="32"/>
      <c r="C455" s="33"/>
      <c r="F455" s="33"/>
      <c r="G455" s="33"/>
    </row>
    <row r="456" spans="2:7" x14ac:dyDescent="0.2">
      <c r="B456" s="32"/>
      <c r="C456" s="33"/>
      <c r="F456" s="33"/>
      <c r="G456" s="33"/>
    </row>
    <row r="457" spans="2:7" x14ac:dyDescent="0.2">
      <c r="B457" s="32"/>
      <c r="C457" s="33"/>
      <c r="F457" s="33"/>
      <c r="G457" s="33"/>
    </row>
    <row r="458" spans="2:7" x14ac:dyDescent="0.2">
      <c r="B458" s="32"/>
      <c r="C458" s="33"/>
      <c r="F458" s="33"/>
      <c r="G458" s="33"/>
    </row>
    <row r="459" spans="2:7" x14ac:dyDescent="0.2">
      <c r="B459" s="32"/>
      <c r="C459" s="33"/>
      <c r="F459" s="33"/>
      <c r="G459" s="33"/>
    </row>
    <row r="460" spans="2:7" x14ac:dyDescent="0.2">
      <c r="B460" s="32"/>
      <c r="C460" s="33"/>
      <c r="F460" s="33"/>
      <c r="G460" s="33"/>
    </row>
    <row r="461" spans="2:7" x14ac:dyDescent="0.2">
      <c r="B461" s="32"/>
      <c r="C461" s="33"/>
      <c r="F461" s="33"/>
      <c r="G461" s="33"/>
    </row>
    <row r="462" spans="2:7" x14ac:dyDescent="0.2">
      <c r="B462" s="32"/>
      <c r="C462" s="33"/>
      <c r="F462" s="33"/>
      <c r="G462" s="33"/>
    </row>
    <row r="463" spans="2:7" x14ac:dyDescent="0.2">
      <c r="B463" s="32"/>
      <c r="C463" s="33"/>
      <c r="F463" s="33"/>
      <c r="G463" s="33"/>
    </row>
    <row r="464" spans="2:7" x14ac:dyDescent="0.2">
      <c r="B464" s="32"/>
      <c r="C464" s="33"/>
      <c r="F464" s="33"/>
      <c r="G464" s="33"/>
    </row>
    <row r="465" spans="2:7" x14ac:dyDescent="0.2">
      <c r="B465" s="32"/>
      <c r="C465" s="33"/>
      <c r="F465" s="33"/>
      <c r="G465" s="33"/>
    </row>
    <row r="466" spans="2:7" x14ac:dyDescent="0.2">
      <c r="B466" s="32"/>
      <c r="C466" s="33"/>
      <c r="F466" s="33"/>
      <c r="G466" s="33"/>
    </row>
    <row r="467" spans="2:7" x14ac:dyDescent="0.2">
      <c r="B467" s="32"/>
      <c r="C467" s="33"/>
      <c r="F467" s="33"/>
      <c r="G467" s="33"/>
    </row>
    <row r="468" spans="2:7" x14ac:dyDescent="0.2">
      <c r="B468" s="32"/>
      <c r="C468" s="33"/>
      <c r="F468" s="33"/>
      <c r="G468" s="33"/>
    </row>
    <row r="469" spans="2:7" x14ac:dyDescent="0.2">
      <c r="B469" s="32"/>
      <c r="C469" s="33"/>
      <c r="F469" s="33"/>
      <c r="G469" s="33"/>
    </row>
    <row r="470" spans="2:7" x14ac:dyDescent="0.2">
      <c r="B470" s="32"/>
      <c r="C470" s="33"/>
      <c r="F470" s="33"/>
      <c r="G470" s="33"/>
    </row>
    <row r="471" spans="2:7" x14ac:dyDescent="0.2">
      <c r="B471" s="32"/>
      <c r="C471" s="33"/>
      <c r="F471" s="33"/>
      <c r="G471" s="33"/>
    </row>
    <row r="472" spans="2:7" x14ac:dyDescent="0.2">
      <c r="B472" s="32"/>
      <c r="C472" s="33"/>
      <c r="F472" s="33"/>
      <c r="G472" s="33"/>
    </row>
    <row r="473" spans="2:7" x14ac:dyDescent="0.2">
      <c r="B473" s="32"/>
      <c r="C473" s="33"/>
      <c r="F473" s="33"/>
      <c r="G473" s="33"/>
    </row>
    <row r="474" spans="2:7" x14ac:dyDescent="0.2">
      <c r="B474" s="32"/>
      <c r="C474" s="33"/>
      <c r="F474" s="33"/>
      <c r="G474" s="33"/>
    </row>
    <row r="475" spans="2:7" x14ac:dyDescent="0.2">
      <c r="B475" s="32"/>
      <c r="C475" s="33"/>
      <c r="F475" s="33"/>
      <c r="G475" s="33"/>
    </row>
    <row r="476" spans="2:7" x14ac:dyDescent="0.2">
      <c r="B476" s="32"/>
      <c r="C476" s="33"/>
      <c r="F476" s="33"/>
      <c r="G476" s="33"/>
    </row>
    <row r="477" spans="2:7" x14ac:dyDescent="0.2">
      <c r="B477" s="32"/>
      <c r="C477" s="33"/>
      <c r="F477" s="33"/>
      <c r="G477" s="33"/>
    </row>
    <row r="478" spans="2:7" x14ac:dyDescent="0.2">
      <c r="B478" s="32"/>
      <c r="C478" s="33"/>
      <c r="F478" s="33"/>
      <c r="G478" s="33"/>
    </row>
    <row r="479" spans="2:7" x14ac:dyDescent="0.2">
      <c r="B479" s="32"/>
      <c r="C479" s="33"/>
      <c r="F479" s="33"/>
      <c r="G479" s="33"/>
    </row>
    <row r="480" spans="2:7" x14ac:dyDescent="0.2">
      <c r="B480" s="32"/>
      <c r="C480" s="33"/>
      <c r="F480" s="33"/>
      <c r="G480" s="33"/>
    </row>
    <row r="481" spans="2:7" x14ac:dyDescent="0.2">
      <c r="B481" s="32"/>
      <c r="C481" s="33"/>
      <c r="F481" s="33"/>
      <c r="G481" s="33"/>
    </row>
    <row r="482" spans="2:7" x14ac:dyDescent="0.2">
      <c r="B482" s="32"/>
      <c r="C482" s="33"/>
      <c r="F482" s="33"/>
      <c r="G482" s="33"/>
    </row>
    <row r="483" spans="2:7" x14ac:dyDescent="0.2">
      <c r="B483" s="32"/>
      <c r="C483" s="33"/>
      <c r="F483" s="33"/>
      <c r="G483" s="33"/>
    </row>
    <row r="484" spans="2:7" x14ac:dyDescent="0.2">
      <c r="B484" s="32"/>
      <c r="C484" s="33"/>
      <c r="F484" s="33"/>
      <c r="G484" s="33"/>
    </row>
    <row r="485" spans="2:7" x14ac:dyDescent="0.2">
      <c r="B485" s="32"/>
      <c r="C485" s="33"/>
      <c r="F485" s="33"/>
      <c r="G485" s="33"/>
    </row>
    <row r="486" spans="2:7" x14ac:dyDescent="0.2">
      <c r="B486" s="32"/>
      <c r="C486" s="33"/>
      <c r="F486" s="33"/>
      <c r="G486" s="33"/>
    </row>
    <row r="487" spans="2:7" x14ac:dyDescent="0.2">
      <c r="B487" s="32"/>
      <c r="C487" s="33"/>
      <c r="F487" s="33"/>
      <c r="G487" s="33"/>
    </row>
    <row r="488" spans="2:7" x14ac:dyDescent="0.2">
      <c r="B488" s="32"/>
      <c r="C488" s="33"/>
      <c r="F488" s="33"/>
      <c r="G488" s="33"/>
    </row>
    <row r="489" spans="2:7" x14ac:dyDescent="0.2">
      <c r="B489" s="32"/>
      <c r="C489" s="33"/>
      <c r="F489" s="33"/>
      <c r="G489" s="33"/>
    </row>
    <row r="490" spans="2:7" x14ac:dyDescent="0.2">
      <c r="B490" s="32"/>
      <c r="C490" s="33"/>
      <c r="F490" s="33"/>
      <c r="G490" s="33"/>
    </row>
    <row r="491" spans="2:7" x14ac:dyDescent="0.2">
      <c r="B491" s="32"/>
      <c r="C491" s="33"/>
      <c r="F491" s="33"/>
      <c r="G491" s="33"/>
    </row>
    <row r="492" spans="2:7" x14ac:dyDescent="0.2">
      <c r="B492" s="32"/>
      <c r="C492" s="33"/>
      <c r="F492" s="33"/>
      <c r="G492" s="33"/>
    </row>
    <row r="493" spans="2:7" x14ac:dyDescent="0.2">
      <c r="B493" s="32"/>
      <c r="C493" s="33"/>
      <c r="F493" s="33"/>
      <c r="G493" s="33"/>
    </row>
    <row r="494" spans="2:7" x14ac:dyDescent="0.2">
      <c r="B494" s="32"/>
      <c r="C494" s="33"/>
      <c r="F494" s="33"/>
      <c r="G494" s="33"/>
    </row>
    <row r="495" spans="2:7" x14ac:dyDescent="0.2">
      <c r="B495" s="32"/>
      <c r="C495" s="33"/>
      <c r="F495" s="33"/>
      <c r="G495" s="33"/>
    </row>
    <row r="496" spans="2:7" x14ac:dyDescent="0.2">
      <c r="B496" s="32"/>
      <c r="C496" s="33"/>
      <c r="F496" s="33"/>
      <c r="G496" s="33"/>
    </row>
    <row r="497" spans="2:7" x14ac:dyDescent="0.2">
      <c r="B497" s="32"/>
      <c r="C497" s="33"/>
      <c r="F497" s="33"/>
      <c r="G497" s="33"/>
    </row>
    <row r="498" spans="2:7" x14ac:dyDescent="0.2">
      <c r="B498" s="32"/>
      <c r="C498" s="33"/>
      <c r="F498" s="33"/>
      <c r="G498" s="33"/>
    </row>
    <row r="499" spans="2:7" x14ac:dyDescent="0.2">
      <c r="B499" s="32"/>
      <c r="C499" s="33"/>
      <c r="F499" s="33"/>
      <c r="G499" s="33"/>
    </row>
    <row r="500" spans="2:7" x14ac:dyDescent="0.2">
      <c r="B500" s="32"/>
      <c r="C500" s="33"/>
      <c r="F500" s="33"/>
      <c r="G500" s="33"/>
    </row>
    <row r="501" spans="2:7" x14ac:dyDescent="0.2">
      <c r="B501" s="32"/>
      <c r="C501" s="33"/>
      <c r="F501" s="33"/>
      <c r="G501" s="33"/>
    </row>
    <row r="502" spans="2:7" x14ac:dyDescent="0.2">
      <c r="B502" s="32"/>
      <c r="C502" s="33"/>
      <c r="F502" s="33"/>
      <c r="G502" s="33"/>
    </row>
    <row r="503" spans="2:7" x14ac:dyDescent="0.2">
      <c r="B503" s="32"/>
      <c r="C503" s="33"/>
      <c r="F503" s="33"/>
      <c r="G503" s="33"/>
    </row>
    <row r="504" spans="2:7" x14ac:dyDescent="0.2">
      <c r="B504" s="32"/>
      <c r="C504" s="33"/>
      <c r="F504" s="33"/>
      <c r="G504" s="33"/>
    </row>
    <row r="505" spans="2:7" x14ac:dyDescent="0.2">
      <c r="B505" s="32"/>
      <c r="C505" s="33"/>
      <c r="F505" s="33"/>
      <c r="G505" s="33"/>
    </row>
    <row r="506" spans="2:7" x14ac:dyDescent="0.2">
      <c r="B506" s="32"/>
      <c r="C506" s="33"/>
      <c r="F506" s="33"/>
      <c r="G506" s="33"/>
    </row>
    <row r="507" spans="2:7" x14ac:dyDescent="0.2">
      <c r="B507" s="32"/>
      <c r="C507" s="33"/>
      <c r="F507" s="33"/>
      <c r="G507" s="33"/>
    </row>
    <row r="508" spans="2:7" x14ac:dyDescent="0.2">
      <c r="B508" s="32"/>
      <c r="C508" s="33"/>
      <c r="F508" s="33"/>
      <c r="G508" s="33"/>
    </row>
    <row r="509" spans="2:7" x14ac:dyDescent="0.2">
      <c r="B509" s="32"/>
      <c r="C509" s="33"/>
      <c r="F509" s="33"/>
      <c r="G509" s="33"/>
    </row>
    <row r="510" spans="2:7" x14ac:dyDescent="0.2">
      <c r="B510" s="32"/>
      <c r="C510" s="33"/>
      <c r="F510" s="33"/>
      <c r="G510" s="33"/>
    </row>
    <row r="511" spans="2:7" x14ac:dyDescent="0.2">
      <c r="B511" s="32"/>
      <c r="C511" s="33"/>
      <c r="F511" s="33"/>
      <c r="G511" s="33"/>
    </row>
    <row r="512" spans="2:7" x14ac:dyDescent="0.2">
      <c r="B512" s="32"/>
      <c r="C512" s="33"/>
      <c r="F512" s="33"/>
      <c r="G512" s="33"/>
    </row>
    <row r="513" spans="2:7" x14ac:dyDescent="0.2">
      <c r="B513" s="32"/>
      <c r="C513" s="33"/>
      <c r="F513" s="33"/>
      <c r="G513" s="33"/>
    </row>
    <row r="514" spans="2:7" x14ac:dyDescent="0.2">
      <c r="B514" s="32"/>
      <c r="C514" s="33"/>
      <c r="F514" s="33"/>
      <c r="G514" s="33"/>
    </row>
    <row r="515" spans="2:7" x14ac:dyDescent="0.2">
      <c r="B515" s="32"/>
      <c r="C515" s="33"/>
      <c r="F515" s="33"/>
      <c r="G515" s="33"/>
    </row>
    <row r="516" spans="2:7" x14ac:dyDescent="0.2">
      <c r="B516" s="32"/>
      <c r="C516" s="33"/>
      <c r="F516" s="33"/>
      <c r="G516" s="33"/>
    </row>
    <row r="517" spans="2:7" x14ac:dyDescent="0.2">
      <c r="B517" s="32"/>
      <c r="C517" s="33"/>
      <c r="F517" s="33"/>
      <c r="G517" s="33"/>
    </row>
    <row r="518" spans="2:7" x14ac:dyDescent="0.2">
      <c r="B518" s="32"/>
      <c r="C518" s="33"/>
      <c r="F518" s="33"/>
      <c r="G518" s="33"/>
    </row>
    <row r="519" spans="2:7" x14ac:dyDescent="0.2">
      <c r="B519" s="32"/>
      <c r="C519" s="33"/>
      <c r="F519" s="33"/>
      <c r="G519" s="33"/>
    </row>
    <row r="520" spans="2:7" x14ac:dyDescent="0.2">
      <c r="B520" s="32"/>
      <c r="C520" s="33"/>
      <c r="F520" s="33"/>
      <c r="G520" s="33"/>
    </row>
    <row r="521" spans="2:7" x14ac:dyDescent="0.2">
      <c r="B521" s="32"/>
      <c r="C521" s="33"/>
      <c r="F521" s="33"/>
      <c r="G521" s="33"/>
    </row>
    <row r="522" spans="2:7" x14ac:dyDescent="0.2">
      <c r="B522" s="32"/>
      <c r="C522" s="33"/>
      <c r="F522" s="33"/>
      <c r="G522" s="33"/>
    </row>
    <row r="523" spans="2:7" x14ac:dyDescent="0.2">
      <c r="B523" s="32"/>
      <c r="C523" s="33"/>
      <c r="F523" s="33"/>
      <c r="G523" s="33"/>
    </row>
    <row r="524" spans="2:7" x14ac:dyDescent="0.2">
      <c r="B524" s="32"/>
      <c r="C524" s="33"/>
      <c r="F524" s="33"/>
      <c r="G524" s="33"/>
    </row>
    <row r="525" spans="2:7" x14ac:dyDescent="0.2">
      <c r="B525" s="32"/>
      <c r="C525" s="33"/>
      <c r="F525" s="33"/>
      <c r="G525" s="33"/>
    </row>
    <row r="526" spans="2:7" x14ac:dyDescent="0.2">
      <c r="B526" s="32"/>
      <c r="C526" s="33"/>
      <c r="F526" s="33"/>
      <c r="G526" s="33"/>
    </row>
    <row r="527" spans="2:7" x14ac:dyDescent="0.2">
      <c r="B527" s="32"/>
      <c r="C527" s="33"/>
      <c r="F527" s="33"/>
      <c r="G527" s="33"/>
    </row>
    <row r="528" spans="2:7" x14ac:dyDescent="0.2">
      <c r="B528" s="32"/>
      <c r="C528" s="33"/>
      <c r="F528" s="33"/>
      <c r="G528" s="33"/>
    </row>
    <row r="529" spans="2:7" x14ac:dyDescent="0.2">
      <c r="B529" s="32"/>
      <c r="C529" s="33"/>
      <c r="F529" s="33"/>
      <c r="G529" s="33"/>
    </row>
    <row r="530" spans="2:7" x14ac:dyDescent="0.2">
      <c r="B530" s="32"/>
      <c r="C530" s="33"/>
      <c r="F530" s="33"/>
      <c r="G530" s="33"/>
    </row>
    <row r="531" spans="2:7" x14ac:dyDescent="0.2">
      <c r="B531" s="32"/>
      <c r="C531" s="33"/>
      <c r="F531" s="33"/>
      <c r="G531" s="33"/>
    </row>
    <row r="532" spans="2:7" x14ac:dyDescent="0.2">
      <c r="B532" s="32"/>
      <c r="C532" s="33"/>
      <c r="F532" s="33"/>
      <c r="G532" s="33"/>
    </row>
    <row r="533" spans="2:7" x14ac:dyDescent="0.2">
      <c r="B533" s="32"/>
      <c r="C533" s="33"/>
      <c r="F533" s="33"/>
      <c r="G533" s="33"/>
    </row>
    <row r="534" spans="2:7" x14ac:dyDescent="0.2">
      <c r="B534" s="32"/>
      <c r="C534" s="33"/>
      <c r="F534" s="33"/>
      <c r="G534" s="33"/>
    </row>
    <row r="535" spans="2:7" x14ac:dyDescent="0.2">
      <c r="B535" s="32"/>
      <c r="C535" s="33"/>
      <c r="F535" s="33"/>
      <c r="G535" s="33"/>
    </row>
    <row r="536" spans="2:7" x14ac:dyDescent="0.2">
      <c r="B536" s="32"/>
      <c r="C536" s="33"/>
      <c r="F536" s="33"/>
      <c r="G536" s="33"/>
    </row>
    <row r="537" spans="2:7" x14ac:dyDescent="0.2">
      <c r="B537" s="32"/>
      <c r="C537" s="33"/>
      <c r="F537" s="33"/>
      <c r="G537" s="33"/>
    </row>
    <row r="538" spans="2:7" x14ac:dyDescent="0.2">
      <c r="B538" s="32"/>
      <c r="C538" s="33"/>
      <c r="F538" s="33"/>
      <c r="G538" s="33"/>
    </row>
    <row r="539" spans="2:7" x14ac:dyDescent="0.2">
      <c r="B539" s="32"/>
      <c r="C539" s="33"/>
      <c r="F539" s="33"/>
      <c r="G539" s="33"/>
    </row>
    <row r="540" spans="2:7" x14ac:dyDescent="0.2">
      <c r="B540" s="32"/>
      <c r="C540" s="33"/>
      <c r="F540" s="33"/>
      <c r="G540" s="33"/>
    </row>
    <row r="541" spans="2:7" x14ac:dyDescent="0.2">
      <c r="B541" s="32"/>
      <c r="C541" s="33"/>
      <c r="F541" s="33"/>
      <c r="G541" s="33"/>
    </row>
    <row r="542" spans="2:7" x14ac:dyDescent="0.2">
      <c r="B542" s="32"/>
      <c r="C542" s="33"/>
      <c r="F542" s="33"/>
      <c r="G542" s="33"/>
    </row>
    <row r="543" spans="2:7" x14ac:dyDescent="0.2">
      <c r="B543" s="32"/>
      <c r="C543" s="33"/>
      <c r="F543" s="33"/>
      <c r="G543" s="33"/>
    </row>
    <row r="544" spans="2:7" x14ac:dyDescent="0.2">
      <c r="B544" s="32"/>
      <c r="C544" s="33"/>
      <c r="F544" s="33"/>
      <c r="G544" s="33"/>
    </row>
    <row r="545" spans="2:7" x14ac:dyDescent="0.2">
      <c r="B545" s="32"/>
      <c r="C545" s="33"/>
      <c r="F545" s="33"/>
      <c r="G545" s="33"/>
    </row>
    <row r="546" spans="2:7" x14ac:dyDescent="0.2">
      <c r="B546" s="32"/>
      <c r="C546" s="33"/>
      <c r="F546" s="33"/>
      <c r="G546" s="33"/>
    </row>
    <row r="547" spans="2:7" x14ac:dyDescent="0.2">
      <c r="B547" s="32"/>
      <c r="C547" s="33"/>
      <c r="F547" s="33"/>
      <c r="G547" s="33"/>
    </row>
    <row r="548" spans="2:7" x14ac:dyDescent="0.2">
      <c r="B548" s="32"/>
      <c r="C548" s="33"/>
      <c r="F548" s="33"/>
      <c r="G548" s="33"/>
    </row>
    <row r="549" spans="2:7" x14ac:dyDescent="0.2">
      <c r="B549" s="32"/>
      <c r="C549" s="33"/>
      <c r="F549" s="33"/>
      <c r="G549" s="33"/>
    </row>
    <row r="550" spans="2:7" x14ac:dyDescent="0.2">
      <c r="B550" s="32"/>
      <c r="C550" s="33"/>
      <c r="F550" s="33"/>
      <c r="G550" s="33"/>
    </row>
    <row r="551" spans="2:7" x14ac:dyDescent="0.2">
      <c r="B551" s="32"/>
      <c r="C551" s="33"/>
      <c r="F551" s="33"/>
      <c r="G551" s="33"/>
    </row>
    <row r="552" spans="2:7" x14ac:dyDescent="0.2">
      <c r="B552" s="32"/>
      <c r="C552" s="33"/>
      <c r="F552" s="33"/>
      <c r="G552" s="33"/>
    </row>
    <row r="553" spans="2:7" x14ac:dyDescent="0.2">
      <c r="B553" s="32"/>
      <c r="C553" s="33"/>
      <c r="F553" s="33"/>
      <c r="G553" s="33"/>
    </row>
    <row r="554" spans="2:7" x14ac:dyDescent="0.2">
      <c r="B554" s="32"/>
      <c r="C554" s="33"/>
      <c r="F554" s="33"/>
      <c r="G554" s="33"/>
    </row>
    <row r="555" spans="2:7" x14ac:dyDescent="0.2">
      <c r="B555" s="32"/>
      <c r="C555" s="33"/>
      <c r="F555" s="33"/>
      <c r="G555" s="33"/>
    </row>
    <row r="556" spans="2:7" x14ac:dyDescent="0.2">
      <c r="B556" s="32"/>
      <c r="C556" s="33"/>
      <c r="F556" s="33"/>
      <c r="G556" s="33"/>
    </row>
    <row r="557" spans="2:7" x14ac:dyDescent="0.2">
      <c r="B557" s="32"/>
      <c r="C557" s="33"/>
      <c r="F557" s="33"/>
      <c r="G557" s="33"/>
    </row>
    <row r="558" spans="2:7" x14ac:dyDescent="0.2">
      <c r="B558" s="32"/>
      <c r="C558" s="33"/>
      <c r="F558" s="33"/>
      <c r="G558" s="33"/>
    </row>
    <row r="559" spans="2:7" x14ac:dyDescent="0.2">
      <c r="B559" s="32"/>
      <c r="C559" s="33"/>
      <c r="F559" s="33"/>
      <c r="G559" s="33"/>
    </row>
    <row r="560" spans="2:7" x14ac:dyDescent="0.2">
      <c r="B560" s="32"/>
      <c r="C560" s="33"/>
      <c r="F560" s="33"/>
      <c r="G560" s="33"/>
    </row>
    <row r="561" spans="2:7" x14ac:dyDescent="0.2">
      <c r="B561" s="32"/>
      <c r="C561" s="33"/>
      <c r="F561" s="33"/>
      <c r="G561" s="33"/>
    </row>
    <row r="562" spans="2:7" x14ac:dyDescent="0.2">
      <c r="B562" s="32"/>
      <c r="C562" s="33"/>
      <c r="F562" s="33"/>
      <c r="G562" s="33"/>
    </row>
    <row r="563" spans="2:7" x14ac:dyDescent="0.2">
      <c r="B563" s="32"/>
      <c r="C563" s="33"/>
      <c r="F563" s="33"/>
      <c r="G563" s="33"/>
    </row>
    <row r="564" spans="2:7" x14ac:dyDescent="0.2">
      <c r="B564" s="32"/>
      <c r="C564" s="33"/>
      <c r="F564" s="33"/>
      <c r="G564" s="33"/>
    </row>
    <row r="565" spans="2:7" x14ac:dyDescent="0.2">
      <c r="B565" s="32"/>
      <c r="C565" s="33"/>
      <c r="F565" s="33"/>
      <c r="G565" s="33"/>
    </row>
    <row r="566" spans="2:7" x14ac:dyDescent="0.2">
      <c r="B566" s="32"/>
      <c r="C566" s="33"/>
      <c r="F566" s="33"/>
      <c r="G566" s="33"/>
    </row>
    <row r="567" spans="2:7" x14ac:dyDescent="0.2">
      <c r="B567" s="32"/>
      <c r="C567" s="33"/>
      <c r="F567" s="33"/>
      <c r="G567" s="33"/>
    </row>
    <row r="568" spans="2:7" x14ac:dyDescent="0.2">
      <c r="B568" s="32"/>
      <c r="C568" s="33"/>
      <c r="F568" s="33"/>
      <c r="G568" s="33"/>
    </row>
    <row r="569" spans="2:7" x14ac:dyDescent="0.2">
      <c r="B569" s="32"/>
      <c r="C569" s="33"/>
      <c r="F569" s="33"/>
      <c r="G569" s="33"/>
    </row>
    <row r="570" spans="2:7" x14ac:dyDescent="0.2">
      <c r="B570" s="32"/>
      <c r="C570" s="33"/>
      <c r="F570" s="33"/>
      <c r="G570" s="33"/>
    </row>
    <row r="571" spans="2:7" x14ac:dyDescent="0.2">
      <c r="B571" s="32"/>
      <c r="C571" s="33"/>
      <c r="F571" s="33"/>
      <c r="G571" s="33"/>
    </row>
    <row r="572" spans="2:7" x14ac:dyDescent="0.2">
      <c r="B572" s="32"/>
      <c r="C572" s="33"/>
      <c r="F572" s="33"/>
      <c r="G572" s="33"/>
    </row>
    <row r="573" spans="2:7" x14ac:dyDescent="0.2">
      <c r="B573" s="32"/>
      <c r="C573" s="33"/>
      <c r="F573" s="33"/>
      <c r="G573" s="33"/>
    </row>
    <row r="574" spans="2:7" x14ac:dyDescent="0.2">
      <c r="B574" s="32"/>
      <c r="C574" s="33"/>
      <c r="F574" s="33"/>
      <c r="G574" s="33"/>
    </row>
    <row r="575" spans="2:7" x14ac:dyDescent="0.2">
      <c r="B575" s="32"/>
      <c r="C575" s="33"/>
      <c r="F575" s="33"/>
      <c r="G575" s="33"/>
    </row>
    <row r="576" spans="2:7" x14ac:dyDescent="0.2">
      <c r="B576" s="32"/>
      <c r="C576" s="33"/>
      <c r="F576" s="33"/>
      <c r="G576" s="33"/>
    </row>
    <row r="577" spans="2:7" x14ac:dyDescent="0.2">
      <c r="B577" s="32"/>
      <c r="C577" s="33"/>
      <c r="F577" s="33"/>
      <c r="G577" s="33"/>
    </row>
    <row r="578" spans="2:7" x14ac:dyDescent="0.2">
      <c r="B578" s="32"/>
      <c r="C578" s="33"/>
      <c r="F578" s="33"/>
      <c r="G578" s="33"/>
    </row>
    <row r="579" spans="2:7" x14ac:dyDescent="0.2">
      <c r="B579" s="32"/>
      <c r="C579" s="33"/>
      <c r="F579" s="33"/>
      <c r="G579" s="33"/>
    </row>
    <row r="580" spans="2:7" x14ac:dyDescent="0.2">
      <c r="B580" s="32"/>
      <c r="C580" s="33"/>
      <c r="F580" s="33"/>
      <c r="G580" s="33"/>
    </row>
    <row r="581" spans="2:7" x14ac:dyDescent="0.2">
      <c r="B581" s="32"/>
      <c r="C581" s="33"/>
      <c r="F581" s="33"/>
      <c r="G581" s="33"/>
    </row>
    <row r="582" spans="2:7" x14ac:dyDescent="0.2">
      <c r="B582" s="32"/>
      <c r="C582" s="33"/>
      <c r="F582" s="33"/>
      <c r="G582" s="33"/>
    </row>
    <row r="583" spans="2:7" x14ac:dyDescent="0.2">
      <c r="B583" s="32"/>
      <c r="C583" s="33"/>
      <c r="F583" s="33"/>
      <c r="G583" s="33"/>
    </row>
    <row r="584" spans="2:7" x14ac:dyDescent="0.2">
      <c r="B584" s="32"/>
      <c r="C584" s="33"/>
      <c r="F584" s="33"/>
      <c r="G584" s="33"/>
    </row>
    <row r="585" spans="2:7" x14ac:dyDescent="0.2">
      <c r="B585" s="32"/>
      <c r="C585" s="33"/>
      <c r="F585" s="33"/>
      <c r="G585" s="33"/>
    </row>
    <row r="586" spans="2:7" x14ac:dyDescent="0.2">
      <c r="B586" s="32"/>
      <c r="C586" s="33"/>
      <c r="F586" s="33"/>
      <c r="G586" s="33"/>
    </row>
    <row r="587" spans="2:7" x14ac:dyDescent="0.2">
      <c r="B587" s="32"/>
      <c r="C587" s="33"/>
      <c r="F587" s="33"/>
      <c r="G587" s="33"/>
    </row>
    <row r="588" spans="2:7" x14ac:dyDescent="0.2">
      <c r="B588" s="32"/>
      <c r="C588" s="33"/>
      <c r="F588" s="33"/>
      <c r="G588" s="33"/>
    </row>
    <row r="589" spans="2:7" x14ac:dyDescent="0.2">
      <c r="B589" s="32"/>
      <c r="C589" s="33"/>
      <c r="F589" s="33"/>
      <c r="G589" s="33"/>
    </row>
    <row r="590" spans="2:7" x14ac:dyDescent="0.2">
      <c r="B590" s="32"/>
      <c r="C590" s="33"/>
      <c r="F590" s="33"/>
      <c r="G590" s="33"/>
    </row>
    <row r="591" spans="2:7" x14ac:dyDescent="0.2">
      <c r="B591" s="32"/>
      <c r="C591" s="33"/>
      <c r="F591" s="33"/>
      <c r="G591" s="33"/>
    </row>
    <row r="592" spans="2:7" x14ac:dyDescent="0.2">
      <c r="B592" s="32"/>
      <c r="C592" s="33"/>
      <c r="F592" s="33"/>
      <c r="G592" s="33"/>
    </row>
    <row r="593" spans="2:7" x14ac:dyDescent="0.2">
      <c r="B593" s="32"/>
      <c r="C593" s="33"/>
      <c r="F593" s="33"/>
      <c r="G593" s="33"/>
    </row>
    <row r="594" spans="2:7" x14ac:dyDescent="0.2">
      <c r="B594" s="32"/>
      <c r="C594" s="33"/>
      <c r="F594" s="33"/>
      <c r="G594" s="33"/>
    </row>
    <row r="595" spans="2:7" x14ac:dyDescent="0.2">
      <c r="B595" s="32"/>
      <c r="C595" s="33"/>
      <c r="F595" s="33"/>
      <c r="G595" s="33"/>
    </row>
    <row r="596" spans="2:7" x14ac:dyDescent="0.2">
      <c r="B596" s="32"/>
      <c r="C596" s="33"/>
      <c r="F596" s="33"/>
      <c r="G596" s="33"/>
    </row>
    <row r="597" spans="2:7" x14ac:dyDescent="0.2">
      <c r="B597" s="32"/>
      <c r="C597" s="33"/>
      <c r="F597" s="33"/>
      <c r="G597" s="33"/>
    </row>
    <row r="598" spans="2:7" x14ac:dyDescent="0.2">
      <c r="B598" s="32"/>
      <c r="C598" s="33"/>
      <c r="F598" s="33"/>
      <c r="G598" s="33"/>
    </row>
    <row r="599" spans="2:7" x14ac:dyDescent="0.2">
      <c r="B599" s="32"/>
      <c r="C599" s="33"/>
      <c r="F599" s="33"/>
      <c r="G599" s="33"/>
    </row>
    <row r="600" spans="2:7" x14ac:dyDescent="0.2">
      <c r="B600" s="32"/>
      <c r="C600" s="33"/>
      <c r="F600" s="33"/>
      <c r="G600" s="33"/>
    </row>
    <row r="601" spans="2:7" x14ac:dyDescent="0.2">
      <c r="B601" s="32"/>
      <c r="C601" s="33"/>
      <c r="F601" s="33"/>
      <c r="G601" s="33"/>
    </row>
    <row r="602" spans="2:7" x14ac:dyDescent="0.2">
      <c r="B602" s="32"/>
      <c r="C602" s="33"/>
      <c r="F602" s="33"/>
      <c r="G602" s="33"/>
    </row>
    <row r="603" spans="2:7" x14ac:dyDescent="0.2">
      <c r="B603" s="32"/>
      <c r="C603" s="33"/>
      <c r="F603" s="33"/>
      <c r="G603" s="33"/>
    </row>
    <row r="604" spans="2:7" x14ac:dyDescent="0.2">
      <c r="B604" s="32"/>
      <c r="C604" s="33"/>
      <c r="F604" s="33"/>
      <c r="G604" s="33"/>
    </row>
    <row r="605" spans="2:7" x14ac:dyDescent="0.2">
      <c r="B605" s="32"/>
      <c r="C605" s="33"/>
      <c r="F605" s="33"/>
      <c r="G605" s="33"/>
    </row>
    <row r="606" spans="2:7" x14ac:dyDescent="0.2">
      <c r="B606" s="32"/>
      <c r="C606" s="33"/>
      <c r="F606" s="33"/>
      <c r="G606" s="33"/>
    </row>
    <row r="607" spans="2:7" x14ac:dyDescent="0.2">
      <c r="B607" s="32"/>
      <c r="C607" s="33"/>
      <c r="F607" s="33"/>
      <c r="G607" s="33"/>
    </row>
    <row r="608" spans="2:7" x14ac:dyDescent="0.2">
      <c r="B608" s="32"/>
      <c r="C608" s="33"/>
      <c r="F608" s="33"/>
      <c r="G608" s="33"/>
    </row>
    <row r="609" spans="2:7" x14ac:dyDescent="0.2">
      <c r="B609" s="32"/>
      <c r="C609" s="33"/>
      <c r="F609" s="33"/>
      <c r="G609" s="33"/>
    </row>
    <row r="610" spans="2:7" x14ac:dyDescent="0.2">
      <c r="B610" s="32"/>
      <c r="C610" s="33"/>
      <c r="F610" s="33"/>
      <c r="G610" s="33"/>
    </row>
    <row r="611" spans="2:7" x14ac:dyDescent="0.2">
      <c r="B611" s="32"/>
      <c r="C611" s="33"/>
      <c r="F611" s="33"/>
      <c r="G611" s="33"/>
    </row>
    <row r="612" spans="2:7" x14ac:dyDescent="0.2">
      <c r="B612" s="32"/>
      <c r="C612" s="33"/>
      <c r="F612" s="33"/>
      <c r="G612" s="33"/>
    </row>
    <row r="613" spans="2:7" x14ac:dyDescent="0.2">
      <c r="B613" s="32"/>
      <c r="C613" s="33"/>
      <c r="F613" s="33"/>
      <c r="G613" s="33"/>
    </row>
    <row r="614" spans="2:7" x14ac:dyDescent="0.2">
      <c r="B614" s="32"/>
      <c r="C614" s="33"/>
      <c r="F614" s="33"/>
      <c r="G614" s="33"/>
    </row>
    <row r="615" spans="2:7" x14ac:dyDescent="0.2">
      <c r="B615" s="32"/>
      <c r="C615" s="33"/>
      <c r="F615" s="33"/>
      <c r="G615" s="33"/>
    </row>
    <row r="616" spans="2:7" x14ac:dyDescent="0.2">
      <c r="B616" s="32"/>
      <c r="C616" s="33"/>
      <c r="F616" s="33"/>
      <c r="G616" s="33"/>
    </row>
    <row r="617" spans="2:7" x14ac:dyDescent="0.2">
      <c r="B617" s="32"/>
      <c r="C617" s="33"/>
      <c r="F617" s="33"/>
      <c r="G617" s="33"/>
    </row>
    <row r="618" spans="2:7" x14ac:dyDescent="0.2">
      <c r="B618" s="32"/>
      <c r="C618" s="33"/>
      <c r="F618" s="33"/>
      <c r="G618" s="33"/>
    </row>
    <row r="619" spans="2:7" x14ac:dyDescent="0.2">
      <c r="B619" s="32"/>
      <c r="C619" s="33"/>
      <c r="F619" s="33"/>
      <c r="G619" s="33"/>
    </row>
    <row r="620" spans="2:7" x14ac:dyDescent="0.2">
      <c r="B620" s="32"/>
      <c r="C620" s="33"/>
      <c r="F620" s="33"/>
      <c r="G620" s="33"/>
    </row>
    <row r="621" spans="2:7" x14ac:dyDescent="0.2">
      <c r="B621" s="32"/>
      <c r="C621" s="33"/>
      <c r="F621" s="33"/>
      <c r="G621" s="33"/>
    </row>
    <row r="622" spans="2:7" x14ac:dyDescent="0.2">
      <c r="B622" s="32"/>
      <c r="C622" s="33"/>
      <c r="F622" s="33"/>
      <c r="G622" s="33"/>
    </row>
    <row r="623" spans="2:7" x14ac:dyDescent="0.2">
      <c r="B623" s="32"/>
      <c r="C623" s="33"/>
      <c r="F623" s="33"/>
      <c r="G623" s="33"/>
    </row>
    <row r="624" spans="2:7" x14ac:dyDescent="0.2">
      <c r="B624" s="32"/>
      <c r="C624" s="33"/>
      <c r="F624" s="33"/>
      <c r="G624" s="33"/>
    </row>
    <row r="625" spans="2:7" x14ac:dyDescent="0.2">
      <c r="B625" s="32"/>
      <c r="C625" s="33"/>
      <c r="F625" s="33"/>
      <c r="G625" s="33"/>
    </row>
    <row r="626" spans="2:7" x14ac:dyDescent="0.2">
      <c r="B626" s="32"/>
      <c r="C626" s="33"/>
      <c r="F626" s="33"/>
      <c r="G626" s="33"/>
    </row>
    <row r="627" spans="2:7" x14ac:dyDescent="0.2">
      <c r="B627" s="32"/>
      <c r="C627" s="33"/>
      <c r="F627" s="33"/>
      <c r="G627" s="33"/>
    </row>
    <row r="628" spans="2:7" x14ac:dyDescent="0.2">
      <c r="B628" s="32"/>
      <c r="C628" s="33"/>
      <c r="F628" s="33"/>
      <c r="G628" s="33"/>
    </row>
    <row r="629" spans="2:7" x14ac:dyDescent="0.2">
      <c r="B629" s="32"/>
      <c r="C629" s="33"/>
      <c r="F629" s="33"/>
      <c r="G629" s="33"/>
    </row>
    <row r="630" spans="2:7" x14ac:dyDescent="0.2">
      <c r="B630" s="32"/>
      <c r="C630" s="33"/>
      <c r="F630" s="33"/>
      <c r="G630" s="33"/>
    </row>
    <row r="631" spans="2:7" x14ac:dyDescent="0.2">
      <c r="B631" s="32"/>
      <c r="C631" s="33"/>
      <c r="F631" s="33"/>
      <c r="G631" s="33"/>
    </row>
    <row r="632" spans="2:7" x14ac:dyDescent="0.2">
      <c r="B632" s="32"/>
      <c r="C632" s="33"/>
      <c r="F632" s="33"/>
      <c r="G632" s="33"/>
    </row>
    <row r="633" spans="2:7" x14ac:dyDescent="0.2">
      <c r="B633" s="32"/>
      <c r="C633" s="33"/>
      <c r="F633" s="33"/>
      <c r="G633" s="33"/>
    </row>
    <row r="634" spans="2:7" x14ac:dyDescent="0.2">
      <c r="B634" s="32"/>
      <c r="C634" s="33"/>
      <c r="F634" s="33"/>
      <c r="G634" s="33"/>
    </row>
    <row r="635" spans="2:7" x14ac:dyDescent="0.2">
      <c r="B635" s="32"/>
      <c r="C635" s="33"/>
      <c r="F635" s="33"/>
      <c r="G635" s="33"/>
    </row>
    <row r="636" spans="2:7" x14ac:dyDescent="0.2">
      <c r="B636" s="32"/>
      <c r="C636" s="33"/>
      <c r="F636" s="33"/>
      <c r="G636" s="33"/>
    </row>
    <row r="637" spans="2:7" x14ac:dyDescent="0.2">
      <c r="B637" s="32"/>
      <c r="C637" s="33"/>
      <c r="F637" s="33"/>
      <c r="G637" s="33"/>
    </row>
    <row r="638" spans="2:7" x14ac:dyDescent="0.2">
      <c r="B638" s="32"/>
      <c r="C638" s="33"/>
      <c r="F638" s="33"/>
      <c r="G638" s="33"/>
    </row>
    <row r="639" spans="2:7" x14ac:dyDescent="0.2">
      <c r="B639" s="32"/>
      <c r="C639" s="33"/>
      <c r="F639" s="33"/>
      <c r="G639" s="33"/>
    </row>
    <row r="640" spans="2:7" x14ac:dyDescent="0.2">
      <c r="B640" s="32"/>
      <c r="C640" s="33"/>
      <c r="F640" s="33"/>
      <c r="G640" s="33"/>
    </row>
    <row r="641" spans="2:7" x14ac:dyDescent="0.2">
      <c r="B641" s="32"/>
      <c r="C641" s="33"/>
      <c r="F641" s="33"/>
      <c r="G641" s="33"/>
    </row>
    <row r="642" spans="2:7" x14ac:dyDescent="0.2">
      <c r="B642" s="32"/>
      <c r="C642" s="33"/>
      <c r="F642" s="33"/>
      <c r="G642" s="33"/>
    </row>
    <row r="643" spans="2:7" x14ac:dyDescent="0.2">
      <c r="B643" s="32"/>
      <c r="C643" s="33"/>
      <c r="F643" s="33"/>
      <c r="G643" s="33"/>
    </row>
    <row r="644" spans="2:7" x14ac:dyDescent="0.2">
      <c r="B644" s="32"/>
      <c r="C644" s="33"/>
      <c r="F644" s="33"/>
      <c r="G644" s="33"/>
    </row>
    <row r="645" spans="2:7" x14ac:dyDescent="0.2">
      <c r="B645" s="32"/>
      <c r="C645" s="33"/>
      <c r="F645" s="33"/>
      <c r="G645" s="33"/>
    </row>
    <row r="646" spans="2:7" x14ac:dyDescent="0.2">
      <c r="B646" s="32"/>
      <c r="C646" s="33"/>
      <c r="F646" s="33"/>
      <c r="G646" s="33"/>
    </row>
    <row r="647" spans="2:7" x14ac:dyDescent="0.2">
      <c r="B647" s="32"/>
      <c r="C647" s="33"/>
      <c r="F647" s="33"/>
      <c r="G647" s="33"/>
    </row>
    <row r="648" spans="2:7" x14ac:dyDescent="0.2">
      <c r="B648" s="32"/>
      <c r="C648" s="33"/>
      <c r="F648" s="33"/>
      <c r="G648" s="33"/>
    </row>
    <row r="649" spans="2:7" x14ac:dyDescent="0.2">
      <c r="B649" s="32"/>
      <c r="C649" s="33"/>
      <c r="F649" s="33"/>
      <c r="G649" s="33"/>
    </row>
    <row r="650" spans="2:7" x14ac:dyDescent="0.2">
      <c r="B650" s="32"/>
      <c r="C650" s="33"/>
      <c r="F650" s="33"/>
      <c r="G650" s="33"/>
    </row>
    <row r="651" spans="2:7" x14ac:dyDescent="0.2">
      <c r="B651" s="32"/>
      <c r="C651" s="33"/>
      <c r="F651" s="33"/>
      <c r="G651" s="33"/>
    </row>
    <row r="652" spans="2:7" x14ac:dyDescent="0.2">
      <c r="B652" s="32"/>
      <c r="C652" s="33"/>
      <c r="F652" s="33"/>
      <c r="G652" s="33"/>
    </row>
    <row r="653" spans="2:7" x14ac:dyDescent="0.2">
      <c r="B653" s="32"/>
      <c r="C653" s="33"/>
      <c r="F653" s="33"/>
      <c r="G653" s="33"/>
    </row>
    <row r="654" spans="2:7" x14ac:dyDescent="0.2">
      <c r="B654" s="32"/>
      <c r="C654" s="33"/>
      <c r="F654" s="33"/>
      <c r="G654" s="33"/>
    </row>
    <row r="655" spans="2:7" x14ac:dyDescent="0.2">
      <c r="B655" s="32"/>
      <c r="C655" s="33"/>
      <c r="F655" s="33"/>
      <c r="G655" s="33"/>
    </row>
    <row r="656" spans="2:7" x14ac:dyDescent="0.2">
      <c r="B656" s="32"/>
      <c r="C656" s="33"/>
      <c r="F656" s="33"/>
      <c r="G656" s="33"/>
    </row>
    <row r="657" spans="2:7" x14ac:dyDescent="0.2">
      <c r="B657" s="32"/>
      <c r="C657" s="33"/>
      <c r="F657" s="33"/>
      <c r="G657" s="33"/>
    </row>
    <row r="658" spans="2:7" x14ac:dyDescent="0.2">
      <c r="B658" s="32"/>
      <c r="C658" s="33"/>
      <c r="F658" s="33"/>
      <c r="G658" s="33"/>
    </row>
    <row r="659" spans="2:7" x14ac:dyDescent="0.2">
      <c r="B659" s="32"/>
      <c r="C659" s="33"/>
      <c r="F659" s="33"/>
      <c r="G659" s="33"/>
    </row>
    <row r="660" spans="2:7" x14ac:dyDescent="0.2">
      <c r="B660" s="32"/>
      <c r="C660" s="33"/>
      <c r="F660" s="33"/>
      <c r="G660" s="33"/>
    </row>
    <row r="661" spans="2:7" x14ac:dyDescent="0.2">
      <c r="B661" s="32"/>
      <c r="C661" s="33"/>
      <c r="F661" s="33"/>
      <c r="G661" s="33"/>
    </row>
    <row r="662" spans="2:7" x14ac:dyDescent="0.2">
      <c r="B662" s="32"/>
      <c r="C662" s="33"/>
      <c r="F662" s="33"/>
      <c r="G662" s="33"/>
    </row>
    <row r="663" spans="2:7" x14ac:dyDescent="0.2">
      <c r="B663" s="32"/>
      <c r="C663" s="33"/>
      <c r="F663" s="33"/>
      <c r="G663" s="33"/>
    </row>
    <row r="664" spans="2:7" x14ac:dyDescent="0.2">
      <c r="B664" s="32"/>
      <c r="C664" s="33"/>
      <c r="F664" s="33"/>
      <c r="G664" s="33"/>
    </row>
    <row r="665" spans="2:7" x14ac:dyDescent="0.2">
      <c r="B665" s="32"/>
      <c r="C665" s="33"/>
      <c r="F665" s="33"/>
      <c r="G665" s="33"/>
    </row>
    <row r="666" spans="2:7" x14ac:dyDescent="0.2">
      <c r="B666" s="32"/>
      <c r="C666" s="33"/>
      <c r="F666" s="33"/>
      <c r="G666" s="33"/>
    </row>
    <row r="667" spans="2:7" x14ac:dyDescent="0.2">
      <c r="B667" s="32"/>
      <c r="C667" s="33"/>
      <c r="F667" s="33"/>
      <c r="G667" s="33"/>
    </row>
    <row r="668" spans="2:7" x14ac:dyDescent="0.2">
      <c r="B668" s="32"/>
      <c r="C668" s="33"/>
      <c r="F668" s="33"/>
      <c r="G668" s="33"/>
    </row>
    <row r="669" spans="2:7" x14ac:dyDescent="0.2">
      <c r="B669" s="32"/>
      <c r="C669" s="33"/>
      <c r="F669" s="33"/>
      <c r="G669" s="33"/>
    </row>
    <row r="670" spans="2:7" x14ac:dyDescent="0.2">
      <c r="B670" s="32"/>
      <c r="C670" s="33"/>
      <c r="F670" s="33"/>
      <c r="G670" s="33"/>
    </row>
    <row r="671" spans="2:7" x14ac:dyDescent="0.2">
      <c r="B671" s="32"/>
      <c r="C671" s="33"/>
      <c r="F671" s="33"/>
      <c r="G671" s="33"/>
    </row>
    <row r="672" spans="2:7" x14ac:dyDescent="0.2">
      <c r="B672" s="32"/>
      <c r="C672" s="33"/>
      <c r="F672" s="33"/>
      <c r="G672" s="33"/>
    </row>
    <row r="673" spans="2:7" x14ac:dyDescent="0.2">
      <c r="B673" s="32"/>
      <c r="C673" s="33"/>
      <c r="F673" s="33"/>
      <c r="G673" s="33"/>
    </row>
    <row r="674" spans="2:7" x14ac:dyDescent="0.2">
      <c r="B674" s="32"/>
      <c r="C674" s="33"/>
      <c r="F674" s="33"/>
      <c r="G674" s="33"/>
    </row>
    <row r="675" spans="2:7" x14ac:dyDescent="0.2">
      <c r="B675" s="32"/>
      <c r="C675" s="33"/>
      <c r="F675" s="33"/>
      <c r="G675" s="33"/>
    </row>
    <row r="676" spans="2:7" x14ac:dyDescent="0.2">
      <c r="B676" s="32"/>
      <c r="C676" s="33"/>
      <c r="F676" s="33"/>
      <c r="G676" s="33"/>
    </row>
    <row r="677" spans="2:7" x14ac:dyDescent="0.2">
      <c r="B677" s="32"/>
      <c r="C677" s="33"/>
      <c r="F677" s="33"/>
      <c r="G677" s="33"/>
    </row>
    <row r="678" spans="2:7" x14ac:dyDescent="0.2">
      <c r="B678" s="32"/>
      <c r="C678" s="33"/>
      <c r="F678" s="33"/>
      <c r="G678" s="33"/>
    </row>
    <row r="679" spans="2:7" x14ac:dyDescent="0.2">
      <c r="B679" s="32"/>
      <c r="C679" s="33"/>
      <c r="F679" s="33"/>
      <c r="G679" s="33"/>
    </row>
    <row r="680" spans="2:7" x14ac:dyDescent="0.2">
      <c r="B680" s="32"/>
      <c r="C680" s="33"/>
      <c r="F680" s="33"/>
      <c r="G680" s="33"/>
    </row>
    <row r="681" spans="2:7" x14ac:dyDescent="0.2">
      <c r="B681" s="32"/>
      <c r="C681" s="33"/>
      <c r="F681" s="33"/>
      <c r="G681" s="33"/>
    </row>
    <row r="682" spans="2:7" x14ac:dyDescent="0.2">
      <c r="B682" s="32"/>
      <c r="C682" s="33"/>
      <c r="F682" s="33"/>
      <c r="G682" s="33"/>
    </row>
    <row r="683" spans="2:7" x14ac:dyDescent="0.2">
      <c r="B683" s="32"/>
      <c r="C683" s="33"/>
      <c r="F683" s="33"/>
      <c r="G683" s="33"/>
    </row>
    <row r="684" spans="2:7" x14ac:dyDescent="0.2">
      <c r="B684" s="32"/>
      <c r="C684" s="33"/>
      <c r="F684" s="33"/>
      <c r="G684" s="33"/>
    </row>
    <row r="685" spans="2:7" x14ac:dyDescent="0.2">
      <c r="B685" s="32"/>
      <c r="C685" s="33"/>
      <c r="F685" s="33"/>
      <c r="G685" s="33"/>
    </row>
    <row r="686" spans="2:7" x14ac:dyDescent="0.2">
      <c r="B686" s="32"/>
      <c r="C686" s="33"/>
      <c r="F686" s="33"/>
      <c r="G686" s="33"/>
    </row>
    <row r="687" spans="2:7" x14ac:dyDescent="0.2">
      <c r="B687" s="32"/>
      <c r="C687" s="33"/>
      <c r="F687" s="33"/>
      <c r="G687" s="33"/>
    </row>
    <row r="688" spans="2:7" x14ac:dyDescent="0.2">
      <c r="B688" s="32"/>
      <c r="C688" s="33"/>
      <c r="F688" s="33"/>
      <c r="G688" s="33"/>
    </row>
    <row r="689" spans="2:7" x14ac:dyDescent="0.2">
      <c r="B689" s="32"/>
      <c r="C689" s="33"/>
      <c r="F689" s="33"/>
      <c r="G689" s="33"/>
    </row>
    <row r="690" spans="2:7" x14ac:dyDescent="0.2">
      <c r="B690" s="32"/>
      <c r="C690" s="33"/>
      <c r="F690" s="33"/>
      <c r="G690" s="33"/>
    </row>
    <row r="691" spans="2:7" x14ac:dyDescent="0.2">
      <c r="B691" s="32"/>
      <c r="C691" s="33"/>
      <c r="F691" s="33"/>
      <c r="G691" s="33"/>
    </row>
    <row r="692" spans="2:7" x14ac:dyDescent="0.2">
      <c r="B692" s="32"/>
      <c r="C692" s="33"/>
      <c r="F692" s="33"/>
      <c r="G692" s="33"/>
    </row>
    <row r="693" spans="2:7" x14ac:dyDescent="0.2">
      <c r="B693" s="32"/>
      <c r="C693" s="33"/>
      <c r="F693" s="33"/>
      <c r="G693" s="33"/>
    </row>
    <row r="694" spans="2:7" x14ac:dyDescent="0.2">
      <c r="B694" s="32"/>
      <c r="C694" s="33"/>
      <c r="F694" s="33"/>
      <c r="G694" s="33"/>
    </row>
    <row r="695" spans="2:7" x14ac:dyDescent="0.2">
      <c r="B695" s="32"/>
      <c r="C695" s="33"/>
      <c r="F695" s="33"/>
      <c r="G695" s="33"/>
    </row>
    <row r="696" spans="2:7" x14ac:dyDescent="0.2">
      <c r="B696" s="32"/>
      <c r="C696" s="33"/>
      <c r="F696" s="33"/>
      <c r="G696" s="33"/>
    </row>
    <row r="697" spans="2:7" x14ac:dyDescent="0.2">
      <c r="B697" s="32"/>
      <c r="C697" s="33"/>
      <c r="F697" s="33"/>
      <c r="G697" s="33"/>
    </row>
    <row r="698" spans="2:7" x14ac:dyDescent="0.2">
      <c r="B698" s="32"/>
      <c r="C698" s="33"/>
      <c r="F698" s="33"/>
      <c r="G698" s="33"/>
    </row>
    <row r="699" spans="2:7" x14ac:dyDescent="0.2">
      <c r="B699" s="32"/>
      <c r="C699" s="33"/>
      <c r="F699" s="33"/>
      <c r="G699" s="33"/>
    </row>
    <row r="700" spans="2:7" x14ac:dyDescent="0.2">
      <c r="B700" s="32"/>
      <c r="C700" s="33"/>
      <c r="F700" s="33"/>
      <c r="G700" s="33"/>
    </row>
    <row r="701" spans="2:7" x14ac:dyDescent="0.2">
      <c r="B701" s="32"/>
      <c r="C701" s="33"/>
      <c r="F701" s="33"/>
      <c r="G701" s="33"/>
    </row>
    <row r="702" spans="2:7" x14ac:dyDescent="0.2">
      <c r="B702" s="32"/>
      <c r="C702" s="33"/>
      <c r="F702" s="33"/>
      <c r="G702" s="33"/>
    </row>
    <row r="703" spans="2:7" x14ac:dyDescent="0.2">
      <c r="B703" s="32"/>
      <c r="C703" s="33"/>
      <c r="F703" s="33"/>
      <c r="G703" s="33"/>
    </row>
    <row r="704" spans="2:7" x14ac:dyDescent="0.2">
      <c r="B704" s="32"/>
      <c r="C704" s="33"/>
      <c r="F704" s="33"/>
      <c r="G704" s="33"/>
    </row>
    <row r="705" spans="2:7" x14ac:dyDescent="0.2">
      <c r="B705" s="32"/>
      <c r="C705" s="33"/>
      <c r="F705" s="33"/>
      <c r="G705" s="33"/>
    </row>
    <row r="706" spans="2:7" x14ac:dyDescent="0.2">
      <c r="B706" s="32"/>
      <c r="C706" s="33"/>
      <c r="F706" s="33"/>
      <c r="G706" s="33"/>
    </row>
    <row r="707" spans="2:7" x14ac:dyDescent="0.2">
      <c r="B707" s="32"/>
      <c r="C707" s="33"/>
      <c r="F707" s="33"/>
      <c r="G707" s="33"/>
    </row>
    <row r="708" spans="2:7" x14ac:dyDescent="0.2">
      <c r="B708" s="32"/>
      <c r="C708" s="33"/>
      <c r="F708" s="33"/>
      <c r="G708" s="33"/>
    </row>
    <row r="709" spans="2:7" x14ac:dyDescent="0.2">
      <c r="B709" s="32"/>
      <c r="C709" s="33"/>
      <c r="F709" s="33"/>
      <c r="G709" s="33"/>
    </row>
    <row r="710" spans="2:7" x14ac:dyDescent="0.2">
      <c r="B710" s="32"/>
      <c r="C710" s="33"/>
      <c r="F710" s="33"/>
      <c r="G710" s="33"/>
    </row>
    <row r="711" spans="2:7" x14ac:dyDescent="0.2">
      <c r="B711" s="32"/>
      <c r="C711" s="33"/>
      <c r="F711" s="33"/>
      <c r="G711" s="33"/>
    </row>
    <row r="712" spans="2:7" x14ac:dyDescent="0.2">
      <c r="B712" s="32"/>
      <c r="C712" s="33"/>
      <c r="F712" s="33"/>
      <c r="G712" s="33"/>
    </row>
    <row r="713" spans="2:7" x14ac:dyDescent="0.2">
      <c r="B713" s="32"/>
      <c r="C713" s="33"/>
      <c r="F713" s="33"/>
      <c r="G713" s="33"/>
    </row>
    <row r="714" spans="2:7" x14ac:dyDescent="0.2">
      <c r="B714" s="32"/>
      <c r="C714" s="33"/>
      <c r="F714" s="33"/>
      <c r="G714" s="33"/>
    </row>
    <row r="715" spans="2:7" x14ac:dyDescent="0.2">
      <c r="B715" s="32"/>
      <c r="C715" s="33"/>
      <c r="F715" s="33"/>
      <c r="G715" s="33"/>
    </row>
    <row r="716" spans="2:7" x14ac:dyDescent="0.2">
      <c r="B716" s="32"/>
      <c r="C716" s="33"/>
      <c r="F716" s="33"/>
      <c r="G716" s="33"/>
    </row>
    <row r="717" spans="2:7" x14ac:dyDescent="0.2">
      <c r="B717" s="32"/>
      <c r="C717" s="33"/>
      <c r="F717" s="33"/>
      <c r="G717" s="33"/>
    </row>
    <row r="718" spans="2:7" x14ac:dyDescent="0.2">
      <c r="B718" s="32"/>
      <c r="C718" s="33"/>
      <c r="F718" s="33"/>
      <c r="G718" s="33"/>
    </row>
    <row r="719" spans="2:7" x14ac:dyDescent="0.2">
      <c r="B719" s="32"/>
      <c r="C719" s="33"/>
      <c r="F719" s="33"/>
      <c r="G719" s="33"/>
    </row>
    <row r="720" spans="2:7" x14ac:dyDescent="0.2">
      <c r="B720" s="32"/>
      <c r="C720" s="33"/>
      <c r="F720" s="33"/>
      <c r="G720" s="33"/>
    </row>
    <row r="721" spans="2:7" x14ac:dyDescent="0.2">
      <c r="B721" s="32"/>
      <c r="C721" s="33"/>
      <c r="F721" s="33"/>
      <c r="G721" s="33"/>
    </row>
    <row r="722" spans="2:7" x14ac:dyDescent="0.2">
      <c r="B722" s="32"/>
      <c r="C722" s="33"/>
      <c r="F722" s="33"/>
      <c r="G722" s="33"/>
    </row>
    <row r="723" spans="2:7" x14ac:dyDescent="0.2">
      <c r="B723" s="32"/>
      <c r="C723" s="33"/>
      <c r="F723" s="33"/>
      <c r="G723" s="33"/>
    </row>
    <row r="724" spans="2:7" x14ac:dyDescent="0.2">
      <c r="B724" s="32"/>
      <c r="C724" s="33"/>
      <c r="F724" s="33"/>
      <c r="G724" s="33"/>
    </row>
    <row r="725" spans="2:7" x14ac:dyDescent="0.2">
      <c r="B725" s="32"/>
      <c r="C725" s="33"/>
      <c r="F725" s="33"/>
      <c r="G725" s="33"/>
    </row>
    <row r="726" spans="2:7" x14ac:dyDescent="0.2">
      <c r="B726" s="32"/>
      <c r="C726" s="33"/>
      <c r="F726" s="33"/>
      <c r="G726" s="33"/>
    </row>
    <row r="727" spans="2:7" x14ac:dyDescent="0.2">
      <c r="B727" s="32"/>
      <c r="C727" s="33"/>
      <c r="F727" s="33"/>
      <c r="G727" s="33"/>
    </row>
    <row r="728" spans="2:7" x14ac:dyDescent="0.2">
      <c r="B728" s="32"/>
      <c r="C728" s="33"/>
      <c r="F728" s="33"/>
      <c r="G728" s="33"/>
    </row>
    <row r="729" spans="2:7" x14ac:dyDescent="0.2">
      <c r="B729" s="32"/>
      <c r="C729" s="33"/>
      <c r="F729" s="33"/>
      <c r="G729" s="33"/>
    </row>
    <row r="730" spans="2:7" x14ac:dyDescent="0.2">
      <c r="B730" s="32"/>
      <c r="C730" s="33"/>
      <c r="F730" s="33"/>
      <c r="G730" s="33"/>
    </row>
    <row r="731" spans="2:7" x14ac:dyDescent="0.2">
      <c r="B731" s="32"/>
      <c r="C731" s="33"/>
      <c r="F731" s="33"/>
      <c r="G731" s="33"/>
    </row>
    <row r="732" spans="2:7" x14ac:dyDescent="0.2">
      <c r="B732" s="32"/>
      <c r="C732" s="33"/>
      <c r="F732" s="33"/>
      <c r="G732" s="33"/>
    </row>
    <row r="733" spans="2:7" x14ac:dyDescent="0.2">
      <c r="B733" s="32"/>
      <c r="C733" s="33"/>
      <c r="F733" s="33"/>
      <c r="G733" s="33"/>
    </row>
    <row r="734" spans="2:7" x14ac:dyDescent="0.2">
      <c r="B734" s="32"/>
      <c r="C734" s="33"/>
      <c r="F734" s="33"/>
      <c r="G734" s="33"/>
    </row>
    <row r="735" spans="2:7" x14ac:dyDescent="0.2">
      <c r="B735" s="32"/>
      <c r="C735" s="33"/>
      <c r="F735" s="33"/>
      <c r="G735" s="33"/>
    </row>
    <row r="736" spans="2:7" x14ac:dyDescent="0.2">
      <c r="B736" s="32"/>
      <c r="C736" s="33"/>
      <c r="F736" s="33"/>
      <c r="G736" s="33"/>
    </row>
    <row r="737" spans="2:7" x14ac:dyDescent="0.2">
      <c r="B737" s="32"/>
      <c r="C737" s="33"/>
      <c r="F737" s="33"/>
      <c r="G737" s="33"/>
    </row>
    <row r="738" spans="2:7" x14ac:dyDescent="0.2">
      <c r="B738" s="32"/>
      <c r="C738" s="33"/>
      <c r="F738" s="33"/>
      <c r="G738" s="33"/>
    </row>
    <row r="739" spans="2:7" x14ac:dyDescent="0.2">
      <c r="B739" s="32"/>
      <c r="C739" s="33"/>
      <c r="F739" s="33"/>
      <c r="G739" s="33"/>
    </row>
    <row r="740" spans="2:7" x14ac:dyDescent="0.2">
      <c r="B740" s="32"/>
      <c r="C740" s="33"/>
      <c r="F740" s="33"/>
      <c r="G740" s="33"/>
    </row>
    <row r="741" spans="2:7" x14ac:dyDescent="0.2">
      <c r="B741" s="32"/>
      <c r="C741" s="33"/>
      <c r="F741" s="33"/>
      <c r="G741" s="33"/>
    </row>
    <row r="742" spans="2:7" x14ac:dyDescent="0.2">
      <c r="B742" s="32"/>
      <c r="C742" s="33"/>
      <c r="F742" s="33"/>
      <c r="G742" s="33"/>
    </row>
    <row r="743" spans="2:7" x14ac:dyDescent="0.2">
      <c r="B743" s="32"/>
      <c r="C743" s="33"/>
      <c r="F743" s="33"/>
      <c r="G743" s="33"/>
    </row>
    <row r="744" spans="2:7" x14ac:dyDescent="0.2">
      <c r="B744" s="32"/>
      <c r="C744" s="33"/>
      <c r="F744" s="33"/>
      <c r="G744" s="33"/>
    </row>
    <row r="745" spans="2:7" x14ac:dyDescent="0.2">
      <c r="B745" s="32"/>
      <c r="C745" s="33"/>
      <c r="F745" s="33"/>
      <c r="G745" s="33"/>
    </row>
    <row r="746" spans="2:7" x14ac:dyDescent="0.2">
      <c r="B746" s="32"/>
      <c r="C746" s="33"/>
      <c r="F746" s="33"/>
      <c r="G746" s="33"/>
    </row>
    <row r="747" spans="2:7" x14ac:dyDescent="0.2">
      <c r="B747" s="32"/>
      <c r="C747" s="33"/>
      <c r="F747" s="33"/>
      <c r="G747" s="33"/>
    </row>
    <row r="748" spans="2:7" x14ac:dyDescent="0.2">
      <c r="B748" s="32"/>
      <c r="C748" s="33"/>
      <c r="F748" s="33"/>
      <c r="G748" s="33"/>
    </row>
    <row r="749" spans="2:7" x14ac:dyDescent="0.2">
      <c r="B749" s="32"/>
      <c r="C749" s="33"/>
      <c r="F749" s="33"/>
      <c r="G749" s="33"/>
    </row>
    <row r="750" spans="2:7" x14ac:dyDescent="0.2">
      <c r="B750" s="32"/>
      <c r="C750" s="33"/>
      <c r="F750" s="33"/>
      <c r="G750" s="33"/>
    </row>
    <row r="751" spans="2:7" x14ac:dyDescent="0.2">
      <c r="B751" s="32"/>
      <c r="C751" s="33"/>
      <c r="F751" s="33"/>
      <c r="G751" s="33"/>
    </row>
    <row r="752" spans="2:7" x14ac:dyDescent="0.2">
      <c r="B752" s="32"/>
      <c r="C752" s="33"/>
      <c r="F752" s="33"/>
      <c r="G752" s="33"/>
    </row>
    <row r="753" spans="2:7" x14ac:dyDescent="0.2">
      <c r="B753" s="32"/>
      <c r="C753" s="33"/>
      <c r="F753" s="33"/>
      <c r="G753" s="33"/>
    </row>
    <row r="754" spans="2:7" x14ac:dyDescent="0.2">
      <c r="B754" s="32"/>
      <c r="C754" s="33"/>
      <c r="F754" s="33"/>
      <c r="G754" s="33"/>
    </row>
    <row r="755" spans="2:7" x14ac:dyDescent="0.2">
      <c r="B755" s="32"/>
      <c r="C755" s="33"/>
      <c r="F755" s="33"/>
      <c r="G755" s="33"/>
    </row>
    <row r="756" spans="2:7" x14ac:dyDescent="0.2">
      <c r="B756" s="32"/>
      <c r="C756" s="33"/>
      <c r="F756" s="33"/>
      <c r="G756" s="33"/>
    </row>
    <row r="757" spans="2:7" x14ac:dyDescent="0.2">
      <c r="B757" s="32"/>
      <c r="C757" s="33"/>
      <c r="F757" s="33"/>
      <c r="G757" s="33"/>
    </row>
    <row r="758" spans="2:7" x14ac:dyDescent="0.2">
      <c r="B758" s="32"/>
      <c r="C758" s="33"/>
      <c r="F758" s="33"/>
      <c r="G758" s="33"/>
    </row>
    <row r="759" spans="2:7" x14ac:dyDescent="0.2">
      <c r="B759" s="32"/>
      <c r="C759" s="33"/>
      <c r="F759" s="33"/>
      <c r="G759" s="33"/>
    </row>
    <row r="760" spans="2:7" x14ac:dyDescent="0.2">
      <c r="B760" s="32"/>
      <c r="C760" s="33"/>
      <c r="F760" s="33"/>
      <c r="G760" s="33"/>
    </row>
    <row r="761" spans="2:7" x14ac:dyDescent="0.2">
      <c r="B761" s="32"/>
      <c r="C761" s="33"/>
      <c r="F761" s="33"/>
      <c r="G761" s="33"/>
    </row>
    <row r="762" spans="2:7" x14ac:dyDescent="0.2">
      <c r="B762" s="32"/>
      <c r="C762" s="33"/>
      <c r="F762" s="33"/>
      <c r="G762" s="33"/>
    </row>
    <row r="763" spans="2:7" x14ac:dyDescent="0.2">
      <c r="B763" s="32"/>
      <c r="C763" s="33"/>
      <c r="F763" s="33"/>
      <c r="G763" s="33"/>
    </row>
    <row r="764" spans="2:7" x14ac:dyDescent="0.2">
      <c r="B764" s="32"/>
      <c r="C764" s="33"/>
      <c r="F764" s="33"/>
      <c r="G764" s="33"/>
    </row>
    <row r="765" spans="2:7" x14ac:dyDescent="0.2">
      <c r="B765" s="32"/>
      <c r="C765" s="33"/>
      <c r="F765" s="33"/>
      <c r="G765" s="33"/>
    </row>
    <row r="766" spans="2:7" x14ac:dyDescent="0.2">
      <c r="B766" s="32"/>
      <c r="C766" s="33"/>
      <c r="F766" s="33"/>
      <c r="G766" s="33"/>
    </row>
    <row r="767" spans="2:7" x14ac:dyDescent="0.2">
      <c r="B767" s="32"/>
      <c r="C767" s="33"/>
      <c r="F767" s="33"/>
      <c r="G767" s="33"/>
    </row>
    <row r="768" spans="2:7" x14ac:dyDescent="0.2">
      <c r="B768" s="32"/>
      <c r="C768" s="33"/>
      <c r="F768" s="33"/>
      <c r="G768" s="33"/>
    </row>
    <row r="769" spans="2:7" x14ac:dyDescent="0.2">
      <c r="B769" s="32"/>
      <c r="C769" s="33"/>
      <c r="F769" s="33"/>
      <c r="G769" s="33"/>
    </row>
    <row r="770" spans="2:7" x14ac:dyDescent="0.2">
      <c r="B770" s="32"/>
      <c r="C770" s="33"/>
      <c r="F770" s="33"/>
      <c r="G770" s="33"/>
    </row>
    <row r="771" spans="2:7" x14ac:dyDescent="0.2">
      <c r="B771" s="32"/>
      <c r="C771" s="33"/>
      <c r="F771" s="33"/>
      <c r="G771" s="33"/>
    </row>
    <row r="772" spans="2:7" x14ac:dyDescent="0.2">
      <c r="B772" s="32"/>
      <c r="C772" s="33"/>
      <c r="F772" s="33"/>
      <c r="G772" s="33"/>
    </row>
    <row r="773" spans="2:7" x14ac:dyDescent="0.2">
      <c r="B773" s="32"/>
      <c r="C773" s="33"/>
      <c r="F773" s="33"/>
      <c r="G773" s="33"/>
    </row>
    <row r="774" spans="2:7" x14ac:dyDescent="0.2">
      <c r="B774" s="32"/>
      <c r="C774" s="33"/>
      <c r="F774" s="33"/>
      <c r="G774" s="33"/>
    </row>
    <row r="775" spans="2:7" x14ac:dyDescent="0.2">
      <c r="B775" s="32"/>
      <c r="C775" s="33"/>
      <c r="F775" s="33"/>
      <c r="G775" s="33"/>
    </row>
    <row r="776" spans="2:7" x14ac:dyDescent="0.2">
      <c r="B776" s="32"/>
      <c r="C776" s="33"/>
      <c r="F776" s="33"/>
      <c r="G776" s="33"/>
    </row>
    <row r="777" spans="2:7" x14ac:dyDescent="0.2">
      <c r="B777" s="32"/>
      <c r="C777" s="33"/>
      <c r="F777" s="33"/>
      <c r="G777" s="33"/>
    </row>
    <row r="778" spans="2:7" x14ac:dyDescent="0.2">
      <c r="B778" s="32"/>
      <c r="C778" s="33"/>
      <c r="F778" s="33"/>
      <c r="G778" s="33"/>
    </row>
    <row r="779" spans="2:7" x14ac:dyDescent="0.2">
      <c r="B779" s="32"/>
      <c r="C779" s="33"/>
      <c r="F779" s="33"/>
      <c r="G779" s="33"/>
    </row>
    <row r="780" spans="2:7" x14ac:dyDescent="0.2">
      <c r="B780" s="32"/>
      <c r="C780" s="33"/>
      <c r="F780" s="33"/>
      <c r="G780" s="33"/>
    </row>
    <row r="781" spans="2:7" x14ac:dyDescent="0.2">
      <c r="B781" s="32"/>
      <c r="C781" s="33"/>
      <c r="F781" s="33"/>
      <c r="G781" s="33"/>
    </row>
    <row r="782" spans="2:7" x14ac:dyDescent="0.2">
      <c r="B782" s="32"/>
      <c r="C782" s="33"/>
      <c r="F782" s="33"/>
      <c r="G782" s="33"/>
    </row>
    <row r="783" spans="2:7" x14ac:dyDescent="0.2">
      <c r="B783" s="32"/>
      <c r="C783" s="33"/>
      <c r="F783" s="33"/>
      <c r="G783" s="33"/>
    </row>
    <row r="784" spans="2:7" x14ac:dyDescent="0.2">
      <c r="B784" s="32"/>
      <c r="C784" s="33"/>
      <c r="F784" s="33"/>
      <c r="G784" s="33"/>
    </row>
    <row r="785" spans="2:7" x14ac:dyDescent="0.2">
      <c r="B785" s="32"/>
      <c r="C785" s="33"/>
      <c r="F785" s="33"/>
      <c r="G785" s="33"/>
    </row>
    <row r="786" spans="2:7" x14ac:dyDescent="0.2">
      <c r="B786" s="32"/>
      <c r="C786" s="33"/>
      <c r="F786" s="33"/>
      <c r="G786" s="33"/>
    </row>
    <row r="787" spans="2:7" x14ac:dyDescent="0.2">
      <c r="B787" s="32"/>
      <c r="C787" s="33"/>
      <c r="F787" s="33"/>
      <c r="G787" s="33"/>
    </row>
    <row r="788" spans="2:7" x14ac:dyDescent="0.2">
      <c r="B788" s="32"/>
      <c r="C788" s="33"/>
      <c r="F788" s="33"/>
      <c r="G788" s="33"/>
    </row>
    <row r="789" spans="2:7" x14ac:dyDescent="0.2">
      <c r="B789" s="32"/>
      <c r="C789" s="33"/>
      <c r="F789" s="33"/>
      <c r="G789" s="33"/>
    </row>
    <row r="790" spans="2:7" x14ac:dyDescent="0.2">
      <c r="B790" s="32"/>
      <c r="C790" s="33"/>
      <c r="F790" s="33"/>
      <c r="G790" s="33"/>
    </row>
    <row r="791" spans="2:7" x14ac:dyDescent="0.2">
      <c r="B791" s="32"/>
      <c r="C791" s="33"/>
      <c r="F791" s="33"/>
      <c r="G791" s="33"/>
    </row>
    <row r="792" spans="2:7" x14ac:dyDescent="0.2">
      <c r="B792" s="32"/>
      <c r="C792" s="33"/>
      <c r="F792" s="33"/>
      <c r="G792" s="33"/>
    </row>
    <row r="793" spans="2:7" x14ac:dyDescent="0.2">
      <c r="B793" s="32"/>
      <c r="C793" s="33"/>
      <c r="F793" s="33"/>
      <c r="G793" s="33"/>
    </row>
    <row r="794" spans="2:7" x14ac:dyDescent="0.2">
      <c r="B794" s="32"/>
      <c r="C794" s="33"/>
      <c r="F794" s="33"/>
      <c r="G794" s="33"/>
    </row>
    <row r="795" spans="2:7" x14ac:dyDescent="0.2">
      <c r="B795" s="32"/>
      <c r="C795" s="33"/>
      <c r="F795" s="33"/>
      <c r="G795" s="33"/>
    </row>
    <row r="796" spans="2:7" x14ac:dyDescent="0.2">
      <c r="B796" s="32"/>
      <c r="C796" s="33"/>
      <c r="F796" s="33"/>
      <c r="G796" s="33"/>
    </row>
    <row r="797" spans="2:7" x14ac:dyDescent="0.2">
      <c r="B797" s="32"/>
      <c r="C797" s="33"/>
      <c r="F797" s="33"/>
      <c r="G797" s="33"/>
    </row>
    <row r="798" spans="2:7" x14ac:dyDescent="0.2">
      <c r="B798" s="32"/>
      <c r="C798" s="33"/>
      <c r="F798" s="33"/>
      <c r="G798" s="33"/>
    </row>
    <row r="799" spans="2:7" x14ac:dyDescent="0.2">
      <c r="B799" s="32"/>
      <c r="C799" s="33"/>
      <c r="F799" s="33"/>
      <c r="G799" s="33"/>
    </row>
    <row r="800" spans="2:7" x14ac:dyDescent="0.2">
      <c r="B800" s="32"/>
      <c r="C800" s="33"/>
      <c r="F800" s="33"/>
      <c r="G800" s="33"/>
    </row>
    <row r="801" spans="2:7" x14ac:dyDescent="0.2">
      <c r="B801" s="32"/>
      <c r="C801" s="33"/>
      <c r="F801" s="33"/>
      <c r="G801" s="33"/>
    </row>
    <row r="802" spans="2:7" x14ac:dyDescent="0.2">
      <c r="B802" s="32"/>
      <c r="C802" s="33"/>
      <c r="F802" s="33"/>
      <c r="G802" s="33"/>
    </row>
    <row r="803" spans="2:7" x14ac:dyDescent="0.2">
      <c r="B803" s="32"/>
      <c r="C803" s="33"/>
      <c r="F803" s="33"/>
      <c r="G803" s="33"/>
    </row>
    <row r="804" spans="2:7" x14ac:dyDescent="0.2">
      <c r="B804" s="32"/>
      <c r="C804" s="33"/>
      <c r="F804" s="33"/>
      <c r="G804" s="33"/>
    </row>
    <row r="805" spans="2:7" x14ac:dyDescent="0.2">
      <c r="B805" s="32"/>
      <c r="C805" s="33"/>
      <c r="F805" s="33"/>
      <c r="G805" s="33"/>
    </row>
    <row r="806" spans="2:7" x14ac:dyDescent="0.2">
      <c r="B806" s="32"/>
      <c r="C806" s="33"/>
      <c r="F806" s="33"/>
      <c r="G806" s="33"/>
    </row>
    <row r="807" spans="2:7" x14ac:dyDescent="0.2">
      <c r="B807" s="32"/>
      <c r="C807" s="33"/>
      <c r="F807" s="33"/>
      <c r="G807" s="33"/>
    </row>
    <row r="808" spans="2:7" x14ac:dyDescent="0.2">
      <c r="B808" s="32"/>
      <c r="C808" s="33"/>
      <c r="F808" s="33"/>
      <c r="G808" s="33"/>
    </row>
    <row r="809" spans="2:7" x14ac:dyDescent="0.2">
      <c r="B809" s="32"/>
      <c r="C809" s="33"/>
      <c r="F809" s="33"/>
      <c r="G809" s="33"/>
    </row>
    <row r="810" spans="2:7" x14ac:dyDescent="0.2">
      <c r="B810" s="32"/>
      <c r="C810" s="33"/>
      <c r="F810" s="33"/>
      <c r="G810" s="33"/>
    </row>
    <row r="811" spans="2:7" x14ac:dyDescent="0.2">
      <c r="B811" s="32"/>
      <c r="C811" s="33"/>
      <c r="F811" s="33"/>
      <c r="G811" s="33"/>
    </row>
    <row r="812" spans="2:7" x14ac:dyDescent="0.2">
      <c r="B812" s="32"/>
      <c r="C812" s="33"/>
      <c r="F812" s="33"/>
      <c r="G812" s="33"/>
    </row>
    <row r="813" spans="2:7" x14ac:dyDescent="0.2">
      <c r="B813" s="32"/>
      <c r="C813" s="33"/>
      <c r="F813" s="33"/>
      <c r="G813" s="33"/>
    </row>
    <row r="814" spans="2:7" x14ac:dyDescent="0.2">
      <c r="B814" s="32"/>
      <c r="C814" s="33"/>
      <c r="F814" s="33"/>
      <c r="G814" s="33"/>
    </row>
    <row r="815" spans="2:7" x14ac:dyDescent="0.2">
      <c r="B815" s="32"/>
      <c r="C815" s="33"/>
      <c r="F815" s="33"/>
      <c r="G815" s="33"/>
    </row>
    <row r="816" spans="2:7" x14ac:dyDescent="0.2">
      <c r="B816" s="32"/>
      <c r="C816" s="33"/>
      <c r="F816" s="33"/>
      <c r="G816" s="33"/>
    </row>
    <row r="817" spans="2:7" x14ac:dyDescent="0.2">
      <c r="B817" s="32"/>
      <c r="C817" s="33"/>
      <c r="F817" s="33"/>
      <c r="G817" s="33"/>
    </row>
    <row r="818" spans="2:7" x14ac:dyDescent="0.2">
      <c r="B818" s="32"/>
      <c r="C818" s="33"/>
      <c r="F818" s="33"/>
      <c r="G818" s="33"/>
    </row>
    <row r="819" spans="2:7" x14ac:dyDescent="0.2">
      <c r="B819" s="32"/>
      <c r="C819" s="33"/>
      <c r="F819" s="33"/>
      <c r="G819" s="33"/>
    </row>
    <row r="820" spans="2:7" x14ac:dyDescent="0.2">
      <c r="B820" s="32"/>
      <c r="C820" s="33"/>
      <c r="F820" s="33"/>
      <c r="G820" s="33"/>
    </row>
    <row r="821" spans="2:7" x14ac:dyDescent="0.2">
      <c r="B821" s="32"/>
      <c r="C821" s="33"/>
      <c r="F821" s="33"/>
      <c r="G821" s="33"/>
    </row>
    <row r="822" spans="2:7" x14ac:dyDescent="0.2">
      <c r="B822" s="32"/>
      <c r="C822" s="33"/>
      <c r="F822" s="33"/>
      <c r="G822" s="33"/>
    </row>
    <row r="823" spans="2:7" x14ac:dyDescent="0.2">
      <c r="B823" s="32"/>
      <c r="C823" s="33"/>
      <c r="F823" s="33"/>
      <c r="G823" s="33"/>
    </row>
    <row r="824" spans="2:7" x14ac:dyDescent="0.2">
      <c r="B824" s="32"/>
      <c r="C824" s="33"/>
      <c r="F824" s="33"/>
      <c r="G824" s="33"/>
    </row>
    <row r="825" spans="2:7" x14ac:dyDescent="0.2">
      <c r="B825" s="32"/>
      <c r="C825" s="33"/>
      <c r="F825" s="33"/>
      <c r="G825" s="33"/>
    </row>
    <row r="826" spans="2:7" x14ac:dyDescent="0.2">
      <c r="B826" s="32"/>
      <c r="C826" s="33"/>
      <c r="F826" s="33"/>
      <c r="G826" s="33"/>
    </row>
    <row r="827" spans="2:7" x14ac:dyDescent="0.2">
      <c r="B827" s="32"/>
      <c r="C827" s="33"/>
      <c r="F827" s="33"/>
      <c r="G827" s="33"/>
    </row>
    <row r="828" spans="2:7" x14ac:dyDescent="0.2">
      <c r="B828" s="32"/>
      <c r="C828" s="33"/>
      <c r="F828" s="33"/>
      <c r="G828" s="33"/>
    </row>
    <row r="829" spans="2:7" x14ac:dyDescent="0.2">
      <c r="B829" s="32"/>
      <c r="C829" s="33"/>
      <c r="F829" s="33"/>
      <c r="G829" s="33"/>
    </row>
    <row r="830" spans="2:7" x14ac:dyDescent="0.2">
      <c r="B830" s="32"/>
      <c r="C830" s="33"/>
      <c r="F830" s="33"/>
      <c r="G830" s="33"/>
    </row>
    <row r="831" spans="2:7" x14ac:dyDescent="0.2">
      <c r="B831" s="32"/>
      <c r="C831" s="33"/>
      <c r="F831" s="33"/>
      <c r="G831" s="33"/>
    </row>
    <row r="832" spans="2:7" x14ac:dyDescent="0.2">
      <c r="B832" s="32"/>
      <c r="C832" s="33"/>
      <c r="F832" s="33"/>
      <c r="G832" s="33"/>
    </row>
    <row r="833" spans="2:7" x14ac:dyDescent="0.2">
      <c r="B833" s="32"/>
      <c r="C833" s="33"/>
      <c r="F833" s="33"/>
      <c r="G833" s="33"/>
    </row>
    <row r="834" spans="2:7" x14ac:dyDescent="0.2">
      <c r="B834" s="32"/>
      <c r="C834" s="33"/>
      <c r="F834" s="33"/>
      <c r="G834" s="33"/>
    </row>
    <row r="835" spans="2:7" x14ac:dyDescent="0.2">
      <c r="B835" s="32"/>
      <c r="C835" s="33"/>
      <c r="F835" s="33"/>
      <c r="G835" s="33"/>
    </row>
    <row r="836" spans="2:7" x14ac:dyDescent="0.2">
      <c r="B836" s="32"/>
      <c r="C836" s="33"/>
      <c r="F836" s="33"/>
      <c r="G836" s="33"/>
    </row>
    <row r="837" spans="2:7" x14ac:dyDescent="0.2">
      <c r="B837" s="32"/>
      <c r="C837" s="33"/>
      <c r="F837" s="33"/>
      <c r="G837" s="33"/>
    </row>
    <row r="838" spans="2:7" x14ac:dyDescent="0.2">
      <c r="B838" s="32"/>
      <c r="C838" s="33"/>
      <c r="F838" s="33"/>
      <c r="G838" s="33"/>
    </row>
    <row r="839" spans="2:7" x14ac:dyDescent="0.2">
      <c r="B839" s="32"/>
      <c r="C839" s="33"/>
      <c r="F839" s="33"/>
      <c r="G839" s="33"/>
    </row>
    <row r="840" spans="2:7" x14ac:dyDescent="0.2">
      <c r="B840" s="32"/>
      <c r="C840" s="33"/>
      <c r="F840" s="33"/>
      <c r="G840" s="33"/>
    </row>
    <row r="841" spans="2:7" x14ac:dyDescent="0.2">
      <c r="B841" s="32"/>
      <c r="C841" s="33"/>
      <c r="F841" s="33"/>
      <c r="G841" s="33"/>
    </row>
    <row r="842" spans="2:7" x14ac:dyDescent="0.2">
      <c r="B842" s="32"/>
      <c r="C842" s="33"/>
      <c r="F842" s="33"/>
      <c r="G842" s="33"/>
    </row>
    <row r="843" spans="2:7" x14ac:dyDescent="0.2">
      <c r="B843" s="32"/>
      <c r="C843" s="33"/>
      <c r="F843" s="33"/>
      <c r="G843" s="33"/>
    </row>
    <row r="844" spans="2:7" x14ac:dyDescent="0.2">
      <c r="B844" s="32"/>
      <c r="C844" s="33"/>
      <c r="F844" s="33"/>
      <c r="G844" s="33"/>
    </row>
    <row r="845" spans="2:7" x14ac:dyDescent="0.2">
      <c r="B845" s="32"/>
      <c r="C845" s="33"/>
      <c r="F845" s="33"/>
      <c r="G845" s="33"/>
    </row>
    <row r="846" spans="2:7" x14ac:dyDescent="0.2">
      <c r="B846" s="32"/>
      <c r="C846" s="33"/>
      <c r="F846" s="33"/>
      <c r="G846" s="33"/>
    </row>
    <row r="847" spans="2:7" x14ac:dyDescent="0.2">
      <c r="B847" s="32"/>
      <c r="C847" s="33"/>
      <c r="F847" s="33"/>
      <c r="G847" s="33"/>
    </row>
    <row r="848" spans="2:7" x14ac:dyDescent="0.2">
      <c r="B848" s="32"/>
      <c r="C848" s="33"/>
      <c r="F848" s="33"/>
      <c r="G848" s="33"/>
    </row>
    <row r="849" spans="2:7" x14ac:dyDescent="0.2">
      <c r="B849" s="32"/>
      <c r="C849" s="33"/>
      <c r="F849" s="33"/>
      <c r="G849" s="33"/>
    </row>
    <row r="850" spans="2:7" x14ac:dyDescent="0.2">
      <c r="B850" s="32"/>
      <c r="C850" s="33"/>
      <c r="F850" s="33"/>
      <c r="G850" s="33"/>
    </row>
    <row r="851" spans="2:7" x14ac:dyDescent="0.2">
      <c r="B851" s="32"/>
      <c r="C851" s="33"/>
      <c r="F851" s="33"/>
      <c r="G851" s="33"/>
    </row>
    <row r="852" spans="2:7" x14ac:dyDescent="0.2">
      <c r="B852" s="32"/>
      <c r="C852" s="33"/>
      <c r="F852" s="33"/>
      <c r="G852" s="33"/>
    </row>
    <row r="853" spans="2:7" x14ac:dyDescent="0.2">
      <c r="B853" s="32"/>
      <c r="C853" s="33"/>
      <c r="F853" s="33"/>
      <c r="G853" s="33"/>
    </row>
    <row r="854" spans="2:7" x14ac:dyDescent="0.2">
      <c r="B854" s="32"/>
      <c r="C854" s="33"/>
      <c r="F854" s="33"/>
      <c r="G854" s="33"/>
    </row>
    <row r="855" spans="2:7" x14ac:dyDescent="0.2">
      <c r="B855" s="32"/>
      <c r="C855" s="33"/>
      <c r="F855" s="33"/>
      <c r="G855" s="33"/>
    </row>
    <row r="856" spans="2:7" x14ac:dyDescent="0.2">
      <c r="B856" s="32"/>
      <c r="C856" s="33"/>
      <c r="F856" s="33"/>
      <c r="G856" s="33"/>
    </row>
    <row r="857" spans="2:7" x14ac:dyDescent="0.2">
      <c r="B857" s="32"/>
      <c r="C857" s="33"/>
      <c r="F857" s="33"/>
      <c r="G857" s="33"/>
    </row>
    <row r="858" spans="2:7" x14ac:dyDescent="0.2">
      <c r="B858" s="32"/>
      <c r="C858" s="33"/>
      <c r="F858" s="33"/>
      <c r="G858" s="33"/>
    </row>
    <row r="859" spans="2:7" x14ac:dyDescent="0.2">
      <c r="B859" s="32"/>
      <c r="C859" s="33"/>
      <c r="F859" s="33"/>
      <c r="G859" s="33"/>
    </row>
    <row r="860" spans="2:7" x14ac:dyDescent="0.2">
      <c r="B860" s="32"/>
      <c r="C860" s="33"/>
      <c r="F860" s="33"/>
      <c r="G860" s="33"/>
    </row>
    <row r="861" spans="2:7" x14ac:dyDescent="0.2">
      <c r="B861" s="32"/>
      <c r="C861" s="33"/>
      <c r="F861" s="33"/>
      <c r="G861" s="33"/>
    </row>
    <row r="862" spans="2:7" x14ac:dyDescent="0.2">
      <c r="B862" s="32"/>
      <c r="C862" s="33"/>
      <c r="F862" s="33"/>
      <c r="G862" s="33"/>
    </row>
    <row r="863" spans="2:7" x14ac:dyDescent="0.2">
      <c r="B863" s="32"/>
      <c r="C863" s="33"/>
      <c r="F863" s="33"/>
      <c r="G863" s="33"/>
    </row>
    <row r="864" spans="2:7" x14ac:dyDescent="0.2">
      <c r="B864" s="32"/>
      <c r="C864" s="33"/>
      <c r="F864" s="33"/>
      <c r="G864" s="33"/>
    </row>
    <row r="865" spans="2:7" x14ac:dyDescent="0.2">
      <c r="B865" s="32"/>
      <c r="C865" s="33"/>
      <c r="F865" s="33"/>
      <c r="G865" s="33"/>
    </row>
    <row r="866" spans="2:7" x14ac:dyDescent="0.2">
      <c r="B866" s="32"/>
      <c r="C866" s="33"/>
      <c r="F866" s="33"/>
      <c r="G866" s="33"/>
    </row>
    <row r="867" spans="2:7" x14ac:dyDescent="0.2">
      <c r="B867" s="32"/>
      <c r="C867" s="33"/>
      <c r="F867" s="33"/>
      <c r="G867" s="33"/>
    </row>
    <row r="868" spans="2:7" x14ac:dyDescent="0.2">
      <c r="B868" s="32"/>
      <c r="C868" s="33"/>
      <c r="F868" s="33"/>
      <c r="G868" s="33"/>
    </row>
    <row r="869" spans="2:7" x14ac:dyDescent="0.2">
      <c r="B869" s="32"/>
      <c r="C869" s="33"/>
      <c r="F869" s="33"/>
      <c r="G869" s="33"/>
    </row>
    <row r="870" spans="2:7" x14ac:dyDescent="0.2">
      <c r="B870" s="32"/>
      <c r="C870" s="33"/>
      <c r="F870" s="33"/>
      <c r="G870" s="33"/>
    </row>
    <row r="871" spans="2:7" x14ac:dyDescent="0.2">
      <c r="B871" s="32"/>
      <c r="C871" s="33"/>
      <c r="F871" s="33"/>
      <c r="G871" s="33"/>
    </row>
    <row r="872" spans="2:7" x14ac:dyDescent="0.2">
      <c r="B872" s="32"/>
      <c r="C872" s="33"/>
      <c r="F872" s="33"/>
      <c r="G872" s="33"/>
    </row>
    <row r="873" spans="2:7" x14ac:dyDescent="0.2">
      <c r="B873" s="32"/>
      <c r="C873" s="33"/>
      <c r="F873" s="33"/>
      <c r="G873" s="33"/>
    </row>
    <row r="874" spans="2:7" x14ac:dyDescent="0.2">
      <c r="B874" s="32"/>
      <c r="C874" s="33"/>
      <c r="F874" s="33"/>
      <c r="G874" s="33"/>
    </row>
    <row r="875" spans="2:7" x14ac:dyDescent="0.2">
      <c r="B875" s="32"/>
      <c r="C875" s="33"/>
      <c r="F875" s="33"/>
      <c r="G875" s="33"/>
    </row>
    <row r="876" spans="2:7" x14ac:dyDescent="0.2">
      <c r="B876" s="32"/>
      <c r="C876" s="33"/>
      <c r="F876" s="33"/>
      <c r="G876" s="33"/>
    </row>
    <row r="877" spans="2:7" x14ac:dyDescent="0.2">
      <c r="B877" s="32"/>
      <c r="C877" s="33"/>
      <c r="F877" s="33"/>
      <c r="G877" s="33"/>
    </row>
    <row r="878" spans="2:7" x14ac:dyDescent="0.2">
      <c r="B878" s="32"/>
      <c r="C878" s="33"/>
      <c r="F878" s="33"/>
      <c r="G878" s="33"/>
    </row>
    <row r="879" spans="2:7" x14ac:dyDescent="0.2">
      <c r="B879" s="32"/>
      <c r="C879" s="33"/>
      <c r="F879" s="33"/>
      <c r="G879" s="33"/>
    </row>
    <row r="880" spans="2:7" x14ac:dyDescent="0.2">
      <c r="B880" s="32"/>
      <c r="C880" s="33"/>
      <c r="F880" s="33"/>
      <c r="G880" s="33"/>
    </row>
    <row r="881" spans="2:7" x14ac:dyDescent="0.2">
      <c r="B881" s="32"/>
      <c r="C881" s="33"/>
      <c r="F881" s="33"/>
      <c r="G881" s="33"/>
    </row>
    <row r="882" spans="2:7" x14ac:dyDescent="0.2">
      <c r="B882" s="32"/>
      <c r="C882" s="33"/>
      <c r="F882" s="33"/>
      <c r="G882" s="33"/>
    </row>
    <row r="883" spans="2:7" x14ac:dyDescent="0.2">
      <c r="B883" s="32"/>
      <c r="C883" s="33"/>
      <c r="F883" s="33"/>
      <c r="G883" s="33"/>
    </row>
    <row r="884" spans="2:7" x14ac:dyDescent="0.2">
      <c r="B884" s="32"/>
      <c r="C884" s="33"/>
      <c r="F884" s="33"/>
      <c r="G884" s="33"/>
    </row>
    <row r="885" spans="2:7" x14ac:dyDescent="0.2">
      <c r="B885" s="32"/>
      <c r="C885" s="33"/>
      <c r="F885" s="33"/>
      <c r="G885" s="33"/>
    </row>
    <row r="886" spans="2:7" x14ac:dyDescent="0.2">
      <c r="B886" s="32"/>
      <c r="C886" s="33"/>
      <c r="F886" s="33"/>
      <c r="G886" s="33"/>
    </row>
    <row r="887" spans="2:7" x14ac:dyDescent="0.2">
      <c r="B887" s="32"/>
      <c r="C887" s="33"/>
      <c r="F887" s="33"/>
      <c r="G887" s="33"/>
    </row>
    <row r="888" spans="2:7" x14ac:dyDescent="0.2">
      <c r="B888" s="32"/>
      <c r="C888" s="33"/>
      <c r="F888" s="33"/>
      <c r="G888" s="33"/>
    </row>
    <row r="889" spans="2:7" x14ac:dyDescent="0.2">
      <c r="B889" s="32"/>
      <c r="C889" s="33"/>
      <c r="F889" s="33"/>
      <c r="G889" s="33"/>
    </row>
    <row r="890" spans="2:7" x14ac:dyDescent="0.2">
      <c r="B890" s="32"/>
      <c r="C890" s="33"/>
      <c r="F890" s="33"/>
      <c r="G890" s="33"/>
    </row>
    <row r="891" spans="2:7" x14ac:dyDescent="0.2">
      <c r="B891" s="32"/>
      <c r="C891" s="33"/>
      <c r="F891" s="33"/>
      <c r="G891" s="33"/>
    </row>
    <row r="892" spans="2:7" x14ac:dyDescent="0.2">
      <c r="B892" s="32"/>
      <c r="C892" s="33"/>
      <c r="F892" s="33"/>
      <c r="G892" s="33"/>
    </row>
    <row r="893" spans="2:7" x14ac:dyDescent="0.2">
      <c r="B893" s="32"/>
      <c r="C893" s="33"/>
      <c r="F893" s="33"/>
      <c r="G893" s="33"/>
    </row>
    <row r="894" spans="2:7" x14ac:dyDescent="0.2">
      <c r="B894" s="32"/>
      <c r="C894" s="33"/>
      <c r="F894" s="33"/>
      <c r="G894" s="33"/>
    </row>
    <row r="895" spans="2:7" x14ac:dyDescent="0.2">
      <c r="B895" s="32"/>
      <c r="C895" s="33"/>
      <c r="F895" s="33"/>
      <c r="G895" s="33"/>
    </row>
    <row r="896" spans="2:7" x14ac:dyDescent="0.2">
      <c r="B896" s="32"/>
      <c r="C896" s="33"/>
      <c r="F896" s="33"/>
      <c r="G896" s="33"/>
    </row>
    <row r="897" spans="2:7" x14ac:dyDescent="0.2">
      <c r="B897" s="32"/>
      <c r="C897" s="33"/>
      <c r="F897" s="33"/>
      <c r="G897" s="33"/>
    </row>
    <row r="898" spans="2:7" x14ac:dyDescent="0.2">
      <c r="B898" s="32"/>
      <c r="C898" s="33"/>
      <c r="F898" s="33"/>
      <c r="G898" s="33"/>
    </row>
    <row r="899" spans="2:7" x14ac:dyDescent="0.2">
      <c r="B899" s="32"/>
      <c r="C899" s="33"/>
      <c r="F899" s="33"/>
      <c r="G899" s="33"/>
    </row>
    <row r="900" spans="2:7" x14ac:dyDescent="0.2">
      <c r="B900" s="32"/>
      <c r="C900" s="33"/>
      <c r="F900" s="33"/>
      <c r="G900" s="33"/>
    </row>
    <row r="901" spans="2:7" x14ac:dyDescent="0.2">
      <c r="B901" s="32"/>
      <c r="C901" s="33"/>
      <c r="F901" s="33"/>
      <c r="G901" s="33"/>
    </row>
    <row r="902" spans="2:7" x14ac:dyDescent="0.2">
      <c r="B902" s="32"/>
      <c r="C902" s="33"/>
      <c r="F902" s="33"/>
      <c r="G902" s="33"/>
    </row>
    <row r="903" spans="2:7" x14ac:dyDescent="0.2">
      <c r="B903" s="32"/>
      <c r="C903" s="33"/>
      <c r="F903" s="33"/>
      <c r="G903" s="33"/>
    </row>
    <row r="904" spans="2:7" x14ac:dyDescent="0.2">
      <c r="B904" s="32"/>
      <c r="C904" s="33"/>
      <c r="F904" s="33"/>
      <c r="G904" s="33"/>
    </row>
    <row r="905" spans="2:7" x14ac:dyDescent="0.2">
      <c r="B905" s="32"/>
      <c r="C905" s="33"/>
      <c r="F905" s="33"/>
      <c r="G905" s="33"/>
    </row>
    <row r="906" spans="2:7" x14ac:dyDescent="0.2">
      <c r="B906" s="32"/>
      <c r="C906" s="33"/>
      <c r="F906" s="33"/>
      <c r="G906" s="33"/>
    </row>
    <row r="907" spans="2:7" x14ac:dyDescent="0.2">
      <c r="B907" s="32"/>
      <c r="C907" s="33"/>
      <c r="F907" s="33"/>
      <c r="G907" s="33"/>
    </row>
    <row r="908" spans="2:7" x14ac:dyDescent="0.2">
      <c r="B908" s="32"/>
      <c r="C908" s="33"/>
      <c r="F908" s="33"/>
      <c r="G908" s="33"/>
    </row>
    <row r="909" spans="2:7" x14ac:dyDescent="0.2">
      <c r="B909" s="32"/>
      <c r="C909" s="33"/>
      <c r="F909" s="33"/>
      <c r="G909" s="33"/>
    </row>
    <row r="910" spans="2:7" x14ac:dyDescent="0.2">
      <c r="B910" s="32"/>
      <c r="C910" s="33"/>
      <c r="F910" s="33"/>
      <c r="G910" s="33"/>
    </row>
    <row r="911" spans="2:7" x14ac:dyDescent="0.2">
      <c r="B911" s="32"/>
      <c r="C911" s="33"/>
      <c r="F911" s="33"/>
      <c r="G911" s="33"/>
    </row>
    <row r="912" spans="2:7" x14ac:dyDescent="0.2">
      <c r="B912" s="32"/>
      <c r="C912" s="33"/>
      <c r="F912" s="33"/>
      <c r="G912" s="33"/>
    </row>
    <row r="913" spans="2:7" x14ac:dyDescent="0.2">
      <c r="B913" s="32"/>
      <c r="C913" s="33"/>
      <c r="F913" s="33"/>
      <c r="G913" s="33"/>
    </row>
    <row r="914" spans="2:7" x14ac:dyDescent="0.2">
      <c r="B914" s="32"/>
      <c r="C914" s="33"/>
      <c r="F914" s="33"/>
      <c r="G914" s="33"/>
    </row>
    <row r="915" spans="2:7" x14ac:dyDescent="0.2">
      <c r="B915" s="32"/>
      <c r="C915" s="33"/>
      <c r="F915" s="33"/>
      <c r="G915" s="33"/>
    </row>
    <row r="916" spans="2:7" x14ac:dyDescent="0.2">
      <c r="B916" s="32"/>
      <c r="C916" s="33"/>
      <c r="F916" s="33"/>
      <c r="G916" s="33"/>
    </row>
    <row r="917" spans="2:7" x14ac:dyDescent="0.2">
      <c r="B917" s="32"/>
      <c r="C917" s="33"/>
      <c r="F917" s="33"/>
      <c r="G917" s="33"/>
    </row>
    <row r="918" spans="2:7" x14ac:dyDescent="0.2">
      <c r="B918" s="32"/>
      <c r="C918" s="33"/>
      <c r="F918" s="33"/>
      <c r="G918" s="33"/>
    </row>
    <row r="919" spans="2:7" x14ac:dyDescent="0.2">
      <c r="B919" s="32"/>
      <c r="C919" s="33"/>
      <c r="F919" s="33"/>
      <c r="G919" s="33"/>
    </row>
    <row r="920" spans="2:7" x14ac:dyDescent="0.2">
      <c r="B920" s="32"/>
      <c r="C920" s="33"/>
      <c r="F920" s="33"/>
      <c r="G920" s="33"/>
    </row>
    <row r="921" spans="2:7" x14ac:dyDescent="0.2">
      <c r="B921" s="32"/>
      <c r="C921" s="33"/>
      <c r="F921" s="33"/>
      <c r="G921" s="33"/>
    </row>
    <row r="922" spans="2:7" x14ac:dyDescent="0.2">
      <c r="B922" s="32"/>
      <c r="C922" s="33"/>
      <c r="F922" s="33"/>
      <c r="G922" s="33"/>
    </row>
    <row r="923" spans="2:7" x14ac:dyDescent="0.2">
      <c r="B923" s="32"/>
      <c r="C923" s="33"/>
      <c r="F923" s="33"/>
      <c r="G923" s="33"/>
    </row>
    <row r="924" spans="2:7" x14ac:dyDescent="0.2">
      <c r="B924" s="32"/>
      <c r="C924" s="33"/>
      <c r="F924" s="33"/>
      <c r="G924" s="33"/>
    </row>
    <row r="925" spans="2:7" x14ac:dyDescent="0.2">
      <c r="B925" s="32"/>
      <c r="C925" s="33"/>
      <c r="F925" s="33"/>
      <c r="G925" s="33"/>
    </row>
    <row r="926" spans="2:7" x14ac:dyDescent="0.2">
      <c r="B926" s="32"/>
      <c r="C926" s="33"/>
      <c r="F926" s="33"/>
      <c r="G926" s="33"/>
    </row>
    <row r="927" spans="2:7" x14ac:dyDescent="0.2">
      <c r="B927" s="32"/>
      <c r="C927" s="33"/>
      <c r="F927" s="33"/>
      <c r="G927" s="33"/>
    </row>
    <row r="928" spans="2:7" x14ac:dyDescent="0.2">
      <c r="B928" s="32"/>
      <c r="C928" s="33"/>
      <c r="F928" s="33"/>
      <c r="G928" s="33"/>
    </row>
    <row r="929" spans="2:7" x14ac:dyDescent="0.2">
      <c r="B929" s="32"/>
      <c r="C929" s="33"/>
      <c r="F929" s="33"/>
      <c r="G929" s="33"/>
    </row>
    <row r="930" spans="2:7" x14ac:dyDescent="0.2">
      <c r="B930" s="32"/>
      <c r="C930" s="33"/>
      <c r="F930" s="33"/>
      <c r="G930" s="33"/>
    </row>
    <row r="931" spans="2:7" x14ac:dyDescent="0.2">
      <c r="B931" s="32"/>
      <c r="C931" s="33"/>
      <c r="F931" s="33"/>
      <c r="G931" s="33"/>
    </row>
    <row r="932" spans="2:7" x14ac:dyDescent="0.2">
      <c r="B932" s="32"/>
      <c r="C932" s="33"/>
      <c r="F932" s="33"/>
      <c r="G932" s="33"/>
    </row>
    <row r="933" spans="2:7" x14ac:dyDescent="0.2">
      <c r="B933" s="32"/>
      <c r="C933" s="33"/>
      <c r="F933" s="33"/>
      <c r="G933" s="33"/>
    </row>
    <row r="934" spans="2:7" x14ac:dyDescent="0.2">
      <c r="B934" s="32"/>
      <c r="C934" s="33"/>
      <c r="F934" s="33"/>
      <c r="G934" s="33"/>
    </row>
    <row r="935" spans="2:7" x14ac:dyDescent="0.2">
      <c r="B935" s="32"/>
      <c r="C935" s="33"/>
      <c r="F935" s="33"/>
      <c r="G935" s="33"/>
    </row>
    <row r="936" spans="2:7" x14ac:dyDescent="0.2">
      <c r="B936" s="32"/>
      <c r="C936" s="33"/>
      <c r="F936" s="33"/>
      <c r="G936" s="33"/>
    </row>
    <row r="937" spans="2:7" x14ac:dyDescent="0.2">
      <c r="B937" s="32"/>
      <c r="C937" s="33"/>
      <c r="F937" s="33"/>
      <c r="G937" s="33"/>
    </row>
    <row r="938" spans="2:7" x14ac:dyDescent="0.2">
      <c r="B938" s="32"/>
      <c r="C938" s="33"/>
      <c r="F938" s="33"/>
      <c r="G938" s="33"/>
    </row>
    <row r="939" spans="2:7" x14ac:dyDescent="0.2">
      <c r="B939" s="32"/>
      <c r="C939" s="33"/>
      <c r="F939" s="33"/>
      <c r="G939" s="33"/>
    </row>
    <row r="940" spans="2:7" x14ac:dyDescent="0.2">
      <c r="B940" s="32"/>
      <c r="C940" s="33"/>
      <c r="F940" s="33"/>
      <c r="G940" s="33"/>
    </row>
    <row r="941" spans="2:7" x14ac:dyDescent="0.2">
      <c r="B941" s="32"/>
      <c r="C941" s="33"/>
      <c r="F941" s="33"/>
      <c r="G941" s="33"/>
    </row>
    <row r="942" spans="2:7" x14ac:dyDescent="0.2">
      <c r="B942" s="32"/>
      <c r="C942" s="33"/>
      <c r="F942" s="33"/>
      <c r="G942" s="33"/>
    </row>
    <row r="943" spans="2:7" x14ac:dyDescent="0.2">
      <c r="B943" s="32"/>
      <c r="C943" s="33"/>
      <c r="F943" s="33"/>
      <c r="G943" s="33"/>
    </row>
    <row r="944" spans="2:7" x14ac:dyDescent="0.2">
      <c r="B944" s="32"/>
      <c r="C944" s="33"/>
      <c r="F944" s="33"/>
      <c r="G944" s="33"/>
    </row>
    <row r="945" spans="2:7" x14ac:dyDescent="0.2">
      <c r="B945" s="32"/>
      <c r="C945" s="33"/>
      <c r="F945" s="33"/>
      <c r="G945" s="33"/>
    </row>
    <row r="946" spans="2:7" x14ac:dyDescent="0.2">
      <c r="B946" s="32"/>
      <c r="C946" s="33"/>
      <c r="F946" s="33"/>
      <c r="G946" s="33"/>
    </row>
    <row r="947" spans="2:7" x14ac:dyDescent="0.2">
      <c r="B947" s="32"/>
      <c r="C947" s="33"/>
      <c r="F947" s="33"/>
      <c r="G947" s="33"/>
    </row>
    <row r="948" spans="2:7" x14ac:dyDescent="0.2">
      <c r="B948" s="32"/>
      <c r="C948" s="33"/>
      <c r="F948" s="33"/>
      <c r="G948" s="33"/>
    </row>
    <row r="949" spans="2:7" x14ac:dyDescent="0.2">
      <c r="B949" s="32"/>
      <c r="C949" s="33"/>
      <c r="F949" s="33"/>
      <c r="G949" s="33"/>
    </row>
    <row r="950" spans="2:7" x14ac:dyDescent="0.2">
      <c r="B950" s="32"/>
      <c r="C950" s="33"/>
      <c r="F950" s="33"/>
      <c r="G950" s="33"/>
    </row>
    <row r="951" spans="2:7" x14ac:dyDescent="0.2">
      <c r="B951" s="32"/>
      <c r="C951" s="33"/>
      <c r="F951" s="33"/>
      <c r="G951" s="33"/>
    </row>
    <row r="952" spans="2:7" x14ac:dyDescent="0.2">
      <c r="B952" s="32"/>
      <c r="C952" s="33"/>
      <c r="F952" s="33"/>
      <c r="G952" s="33"/>
    </row>
    <row r="953" spans="2:7" x14ac:dyDescent="0.2">
      <c r="B953" s="32"/>
      <c r="C953" s="33"/>
      <c r="F953" s="33"/>
      <c r="G953" s="33"/>
    </row>
    <row r="954" spans="2:7" x14ac:dyDescent="0.2">
      <c r="B954" s="32"/>
      <c r="C954" s="33"/>
      <c r="F954" s="33"/>
      <c r="G954" s="33"/>
    </row>
    <row r="955" spans="2:7" x14ac:dyDescent="0.2">
      <c r="B955" s="32"/>
      <c r="C955" s="33"/>
      <c r="F955" s="33"/>
      <c r="G955" s="33"/>
    </row>
    <row r="956" spans="2:7" x14ac:dyDescent="0.2">
      <c r="B956" s="32"/>
      <c r="C956" s="33"/>
      <c r="F956" s="33"/>
      <c r="G956" s="33"/>
    </row>
    <row r="957" spans="2:7" x14ac:dyDescent="0.2">
      <c r="B957" s="32"/>
      <c r="C957" s="33"/>
      <c r="F957" s="33"/>
      <c r="G957" s="33"/>
    </row>
    <row r="958" spans="2:7" x14ac:dyDescent="0.2">
      <c r="B958" s="32"/>
      <c r="C958" s="33"/>
      <c r="F958" s="33"/>
      <c r="G958" s="33"/>
    </row>
    <row r="959" spans="2:7" x14ac:dyDescent="0.2">
      <c r="B959" s="32"/>
      <c r="C959" s="33"/>
      <c r="F959" s="33"/>
      <c r="G959" s="33"/>
    </row>
    <row r="960" spans="2:7" x14ac:dyDescent="0.2">
      <c r="B960" s="32"/>
      <c r="C960" s="33"/>
      <c r="F960" s="33"/>
      <c r="G960" s="33"/>
    </row>
    <row r="961" spans="2:7" x14ac:dyDescent="0.2">
      <c r="B961" s="32"/>
      <c r="C961" s="33"/>
      <c r="F961" s="33"/>
      <c r="G961" s="33"/>
    </row>
    <row r="962" spans="2:7" x14ac:dyDescent="0.2">
      <c r="B962" s="32"/>
      <c r="C962" s="33"/>
      <c r="F962" s="33"/>
      <c r="G962" s="33"/>
    </row>
    <row r="963" spans="2:7" x14ac:dyDescent="0.2">
      <c r="B963" s="32"/>
      <c r="C963" s="33"/>
      <c r="F963" s="33"/>
      <c r="G963" s="33"/>
    </row>
    <row r="964" spans="2:7" x14ac:dyDescent="0.2">
      <c r="B964" s="32"/>
      <c r="C964" s="33"/>
      <c r="F964" s="33"/>
      <c r="G964" s="33"/>
    </row>
    <row r="965" spans="2:7" x14ac:dyDescent="0.2">
      <c r="B965" s="32"/>
      <c r="C965" s="33"/>
      <c r="F965" s="33"/>
      <c r="G965" s="33"/>
    </row>
    <row r="966" spans="2:7" x14ac:dyDescent="0.2">
      <c r="B966" s="32"/>
      <c r="C966" s="33"/>
      <c r="F966" s="33"/>
      <c r="G966" s="33"/>
    </row>
    <row r="967" spans="2:7" x14ac:dyDescent="0.2">
      <c r="B967" s="32"/>
      <c r="C967" s="33"/>
      <c r="F967" s="33"/>
      <c r="G967" s="33"/>
    </row>
    <row r="968" spans="2:7" x14ac:dyDescent="0.2">
      <c r="B968" s="32"/>
      <c r="C968" s="33"/>
      <c r="F968" s="33"/>
      <c r="G968" s="33"/>
    </row>
    <row r="969" spans="2:7" x14ac:dyDescent="0.2">
      <c r="B969" s="32"/>
      <c r="C969" s="33"/>
      <c r="F969" s="33"/>
      <c r="G969" s="33"/>
    </row>
    <row r="970" spans="2:7" x14ac:dyDescent="0.2">
      <c r="B970" s="32"/>
      <c r="C970" s="33"/>
      <c r="F970" s="33"/>
      <c r="G970" s="33"/>
    </row>
    <row r="971" spans="2:7" x14ac:dyDescent="0.2">
      <c r="B971" s="32"/>
      <c r="C971" s="33"/>
      <c r="F971" s="33"/>
      <c r="G971" s="33"/>
    </row>
    <row r="972" spans="2:7" x14ac:dyDescent="0.2">
      <c r="B972" s="32"/>
      <c r="C972" s="33"/>
      <c r="F972" s="33"/>
      <c r="G972" s="33"/>
    </row>
    <row r="973" spans="2:7" x14ac:dyDescent="0.2">
      <c r="B973" s="32"/>
      <c r="C973" s="33"/>
      <c r="F973" s="33"/>
      <c r="G973" s="33"/>
    </row>
    <row r="974" spans="2:7" x14ac:dyDescent="0.2">
      <c r="B974" s="32"/>
      <c r="C974" s="33"/>
      <c r="F974" s="33"/>
      <c r="G974" s="33"/>
    </row>
    <row r="975" spans="2:7" x14ac:dyDescent="0.2">
      <c r="B975" s="32"/>
      <c r="C975" s="33"/>
      <c r="F975" s="33"/>
      <c r="G975" s="33"/>
    </row>
    <row r="976" spans="2:7" x14ac:dyDescent="0.2">
      <c r="B976" s="32"/>
      <c r="C976" s="33"/>
      <c r="F976" s="33"/>
      <c r="G976" s="33"/>
    </row>
    <row r="977" spans="2:7" x14ac:dyDescent="0.2">
      <c r="B977" s="32"/>
      <c r="C977" s="33"/>
      <c r="F977" s="33"/>
      <c r="G977" s="33"/>
    </row>
    <row r="978" spans="2:7" x14ac:dyDescent="0.2">
      <c r="B978" s="32"/>
      <c r="C978" s="33"/>
      <c r="F978" s="33"/>
      <c r="G978" s="33"/>
    </row>
    <row r="979" spans="2:7" x14ac:dyDescent="0.2">
      <c r="B979" s="32"/>
      <c r="C979" s="33"/>
      <c r="F979" s="33"/>
      <c r="G979" s="33"/>
    </row>
    <row r="980" spans="2:7" x14ac:dyDescent="0.2">
      <c r="B980" s="32"/>
      <c r="C980" s="33"/>
      <c r="F980" s="33"/>
      <c r="G980" s="33"/>
    </row>
    <row r="981" spans="2:7" x14ac:dyDescent="0.2">
      <c r="B981" s="32"/>
      <c r="C981" s="33"/>
      <c r="F981" s="33"/>
      <c r="G981" s="33"/>
    </row>
    <row r="982" spans="2:7" x14ac:dyDescent="0.2">
      <c r="B982" s="32"/>
      <c r="C982" s="33"/>
      <c r="F982" s="33"/>
      <c r="G982" s="33"/>
    </row>
    <row r="983" spans="2:7" x14ac:dyDescent="0.2">
      <c r="B983" s="32"/>
      <c r="C983" s="33"/>
      <c r="F983" s="33"/>
      <c r="G983" s="33"/>
    </row>
    <row r="984" spans="2:7" x14ac:dyDescent="0.2">
      <c r="B984" s="32"/>
      <c r="C984" s="33"/>
      <c r="F984" s="33"/>
      <c r="G984" s="33"/>
    </row>
    <row r="985" spans="2:7" x14ac:dyDescent="0.2">
      <c r="B985" s="32"/>
      <c r="C985" s="33"/>
      <c r="F985" s="33"/>
      <c r="G985" s="33"/>
    </row>
    <row r="986" spans="2:7" x14ac:dyDescent="0.2">
      <c r="B986" s="32"/>
      <c r="C986" s="33"/>
      <c r="F986" s="33"/>
      <c r="G986" s="33"/>
    </row>
    <row r="987" spans="2:7" x14ac:dyDescent="0.2">
      <c r="B987" s="32"/>
      <c r="C987" s="33"/>
      <c r="F987" s="33"/>
      <c r="G987" s="33"/>
    </row>
    <row r="988" spans="2:7" x14ac:dyDescent="0.2">
      <c r="B988" s="32"/>
      <c r="C988" s="33"/>
      <c r="F988" s="33"/>
      <c r="G988" s="33"/>
    </row>
    <row r="989" spans="2:7" x14ac:dyDescent="0.2">
      <c r="B989" s="32"/>
      <c r="C989" s="33"/>
      <c r="F989" s="33"/>
      <c r="G989" s="33"/>
    </row>
    <row r="990" spans="2:7" x14ac:dyDescent="0.2">
      <c r="B990" s="32"/>
      <c r="C990" s="33"/>
      <c r="F990" s="33"/>
      <c r="G990" s="33"/>
    </row>
    <row r="991" spans="2:7" x14ac:dyDescent="0.2">
      <c r="B991" s="32"/>
      <c r="C991" s="33"/>
      <c r="F991" s="33"/>
      <c r="G991" s="33"/>
    </row>
    <row r="992" spans="2:7" x14ac:dyDescent="0.2">
      <c r="B992" s="32"/>
      <c r="C992" s="33"/>
      <c r="F992" s="33"/>
      <c r="G992" s="33"/>
    </row>
    <row r="993" spans="2:7" x14ac:dyDescent="0.2">
      <c r="B993" s="32"/>
      <c r="C993" s="33"/>
      <c r="F993" s="33"/>
      <c r="G993" s="33"/>
    </row>
    <row r="994" spans="2:7" x14ac:dyDescent="0.2">
      <c r="B994" s="32"/>
      <c r="C994" s="33"/>
      <c r="F994" s="33"/>
      <c r="G994" s="33"/>
    </row>
    <row r="995" spans="2:7" x14ac:dyDescent="0.2">
      <c r="B995" s="32"/>
      <c r="C995" s="33"/>
      <c r="F995" s="33"/>
      <c r="G995" s="33"/>
    </row>
    <row r="996" spans="2:7" x14ac:dyDescent="0.2">
      <c r="B996" s="32"/>
      <c r="C996" s="33"/>
      <c r="F996" s="33"/>
      <c r="G996" s="33"/>
    </row>
    <row r="997" spans="2:7" x14ac:dyDescent="0.2">
      <c r="B997" s="32"/>
      <c r="C997" s="33"/>
      <c r="F997" s="33"/>
      <c r="G997" s="33"/>
    </row>
    <row r="998" spans="2:7" x14ac:dyDescent="0.2">
      <c r="B998" s="32"/>
      <c r="C998" s="33"/>
      <c r="F998" s="33"/>
      <c r="G998" s="33"/>
    </row>
    <row r="999" spans="2:7" x14ac:dyDescent="0.2">
      <c r="B999" s="32"/>
      <c r="C999" s="33"/>
      <c r="F999" s="33"/>
      <c r="G999" s="33"/>
    </row>
    <row r="1000" spans="2:7" x14ac:dyDescent="0.2">
      <c r="B1000" s="32"/>
      <c r="C1000" s="33"/>
      <c r="F1000" s="33"/>
      <c r="G1000" s="33"/>
    </row>
  </sheetData>
  <conditionalFormatting sqref="C2:C1000 G2:G1000">
    <cfRule type="containsBlanks" dxfId="1" priority="1" stopIfTrue="1">
      <formula>LEN(TRIM(C2))=0</formula>
    </cfRule>
    <cfRule type="cellIs" dxfId="0" priority="2" stopIfTrue="1" operator="equal">
      <formula>"Not Available"</formula>
    </cfRule>
  </conditionalFormatting>
  <hyperlinks>
    <hyperlink ref="B2" r:id="rId1" xr:uid="{00000000-0004-0000-0000-000000000000}"/>
    <hyperlink ref="F2" r:id="rId2" xr:uid="{00000000-0004-0000-0000-000001000000}"/>
    <hyperlink ref="B3" r:id="rId3" xr:uid="{00000000-0004-0000-0000-000002000000}"/>
    <hyperlink ref="F3" r:id="rId4" xr:uid="{00000000-0004-0000-0000-000003000000}"/>
    <hyperlink ref="B4" r:id="rId5" xr:uid="{00000000-0004-0000-0000-000004000000}"/>
    <hyperlink ref="F4" r:id="rId6" xr:uid="{00000000-0004-0000-0000-000005000000}"/>
    <hyperlink ref="F5" r:id="rId7" xr:uid="{00000000-0004-0000-0000-000006000000}"/>
    <hyperlink ref="B6" r:id="rId8" xr:uid="{00000000-0004-0000-0000-000007000000}"/>
    <hyperlink ref="F6" r:id="rId9" xr:uid="{00000000-0004-0000-0000-000008000000}"/>
    <hyperlink ref="B7" r:id="rId10" xr:uid="{00000000-0004-0000-0000-000009000000}"/>
    <hyperlink ref="F7" r:id="rId11" xr:uid="{00000000-0004-0000-0000-00000A000000}"/>
    <hyperlink ref="B8" r:id="rId12" xr:uid="{00000000-0004-0000-0000-00000B000000}"/>
    <hyperlink ref="F8" r:id="rId13" xr:uid="{00000000-0004-0000-0000-00000C000000}"/>
    <hyperlink ref="B9" r:id="rId14" xr:uid="{00000000-0004-0000-0000-00000D000000}"/>
    <hyperlink ref="F9" r:id="rId15" xr:uid="{00000000-0004-0000-0000-00000E000000}"/>
    <hyperlink ref="B10" r:id="rId16" xr:uid="{00000000-0004-0000-0000-00000F000000}"/>
    <hyperlink ref="F10" r:id="rId17" xr:uid="{00000000-0004-0000-0000-000010000000}"/>
    <hyperlink ref="B11" r:id="rId18" xr:uid="{00000000-0004-0000-0000-000011000000}"/>
    <hyperlink ref="F11" r:id="rId19" xr:uid="{00000000-0004-0000-0000-000012000000}"/>
    <hyperlink ref="B12" r:id="rId20" xr:uid="{00000000-0004-0000-0000-000013000000}"/>
    <hyperlink ref="F12" r:id="rId21" xr:uid="{00000000-0004-0000-0000-000014000000}"/>
    <hyperlink ref="B13" r:id="rId22" xr:uid="{00000000-0004-0000-0000-000015000000}"/>
    <hyperlink ref="F13" r:id="rId23" xr:uid="{00000000-0004-0000-0000-000016000000}"/>
    <hyperlink ref="B14" r:id="rId24" xr:uid="{00000000-0004-0000-0000-000017000000}"/>
    <hyperlink ref="F14" r:id="rId25" xr:uid="{00000000-0004-0000-0000-000018000000}"/>
    <hyperlink ref="B15" r:id="rId26" xr:uid="{00000000-0004-0000-0000-000019000000}"/>
    <hyperlink ref="F15" r:id="rId27" xr:uid="{00000000-0004-0000-0000-00001A000000}"/>
    <hyperlink ref="B16" r:id="rId28" xr:uid="{00000000-0004-0000-0000-00001B000000}"/>
    <hyperlink ref="F16" r:id="rId29" xr:uid="{00000000-0004-0000-0000-00001C000000}"/>
    <hyperlink ref="B17" r:id="rId30" xr:uid="{00000000-0004-0000-0000-00001D000000}"/>
    <hyperlink ref="F17" r:id="rId31" xr:uid="{00000000-0004-0000-0000-00001E000000}"/>
    <hyperlink ref="B18" r:id="rId32" xr:uid="{00000000-0004-0000-0000-00001F000000}"/>
    <hyperlink ref="F18" r:id="rId33" xr:uid="{00000000-0004-0000-0000-000020000000}"/>
    <hyperlink ref="B19" r:id="rId34" xr:uid="{00000000-0004-0000-0000-000021000000}"/>
    <hyperlink ref="F19" r:id="rId35" xr:uid="{00000000-0004-0000-0000-000022000000}"/>
    <hyperlink ref="B20" r:id="rId36" xr:uid="{00000000-0004-0000-0000-000023000000}"/>
    <hyperlink ref="F20" r:id="rId37" xr:uid="{00000000-0004-0000-0000-000024000000}"/>
    <hyperlink ref="B21" r:id="rId38" xr:uid="{00000000-0004-0000-0000-000025000000}"/>
    <hyperlink ref="F21" r:id="rId39" xr:uid="{00000000-0004-0000-0000-000026000000}"/>
    <hyperlink ref="B22" r:id="rId40" xr:uid="{00000000-0004-0000-0000-000027000000}"/>
    <hyperlink ref="F22" r:id="rId41" xr:uid="{00000000-0004-0000-0000-000028000000}"/>
    <hyperlink ref="B23" r:id="rId42" xr:uid="{00000000-0004-0000-0000-000029000000}"/>
    <hyperlink ref="F23" r:id="rId43" xr:uid="{00000000-0004-0000-0000-00002A000000}"/>
    <hyperlink ref="B24" r:id="rId44" xr:uid="{00000000-0004-0000-0000-00002B000000}"/>
    <hyperlink ref="F24" r:id="rId45" xr:uid="{00000000-0004-0000-0000-00002C000000}"/>
    <hyperlink ref="B25" r:id="rId46" xr:uid="{00000000-0004-0000-0000-00002D000000}"/>
    <hyperlink ref="F25" r:id="rId47" xr:uid="{00000000-0004-0000-0000-00002E000000}"/>
    <hyperlink ref="B26" r:id="rId48" xr:uid="{00000000-0004-0000-0000-00002F000000}"/>
    <hyperlink ref="B27" r:id="rId49" xr:uid="{00000000-0004-0000-0000-000030000000}"/>
    <hyperlink ref="F27" r:id="rId50" xr:uid="{00000000-0004-0000-0000-000031000000}"/>
    <hyperlink ref="B28" r:id="rId51" xr:uid="{00000000-0004-0000-0000-000032000000}"/>
    <hyperlink ref="F28" r:id="rId52" xr:uid="{00000000-0004-0000-0000-000033000000}"/>
    <hyperlink ref="B29" r:id="rId53" xr:uid="{00000000-0004-0000-0000-000034000000}"/>
    <hyperlink ref="F29" r:id="rId54" xr:uid="{00000000-0004-0000-0000-000035000000}"/>
    <hyperlink ref="B30" r:id="rId55" xr:uid="{00000000-0004-0000-0000-000036000000}"/>
    <hyperlink ref="F30" r:id="rId56" xr:uid="{00000000-0004-0000-0000-000037000000}"/>
    <hyperlink ref="B31" r:id="rId57" xr:uid="{00000000-0004-0000-0000-000038000000}"/>
    <hyperlink ref="F31" r:id="rId58" xr:uid="{00000000-0004-0000-0000-000039000000}"/>
    <hyperlink ref="B32" r:id="rId59" xr:uid="{00000000-0004-0000-0000-00003A000000}"/>
    <hyperlink ref="F32" r:id="rId60" xr:uid="{00000000-0004-0000-0000-00003B000000}"/>
    <hyperlink ref="B33" r:id="rId61" xr:uid="{00000000-0004-0000-0000-00003C000000}"/>
    <hyperlink ref="F33" r:id="rId62" xr:uid="{00000000-0004-0000-0000-00003D000000}"/>
    <hyperlink ref="F34" r:id="rId63" xr:uid="{00000000-0004-0000-0000-00003E000000}"/>
    <hyperlink ref="F35" r:id="rId64" xr:uid="{00000000-0004-0000-0000-00003F000000}"/>
    <hyperlink ref="F36" r:id="rId65" xr:uid="{00000000-0004-0000-0000-000040000000}"/>
    <hyperlink ref="F37" r:id="rId66" xr:uid="{00000000-0004-0000-0000-000041000000}"/>
    <hyperlink ref="F38" r:id="rId67" xr:uid="{00000000-0004-0000-0000-000042000000}"/>
    <hyperlink ref="F39" r:id="rId68" xr:uid="{00000000-0004-0000-0000-000043000000}"/>
    <hyperlink ref="B40" r:id="rId69" xr:uid="{00000000-0004-0000-0000-000044000000}"/>
    <hyperlink ref="F40" r:id="rId70" xr:uid="{00000000-0004-0000-0000-000045000000}"/>
    <hyperlink ref="F41" r:id="rId71" xr:uid="{00000000-0004-0000-0000-000046000000}"/>
    <hyperlink ref="F42" r:id="rId72" xr:uid="{00000000-0004-0000-0000-00004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6"/>
    <outlinePr summaryBelow="0" summaryRight="0"/>
  </sheetPr>
  <dimension ref="A1:AA1002"/>
  <sheetViews>
    <sheetView workbookViewId="0">
      <pane xSplit="1" topLeftCell="B1" activePane="topRight" state="frozen"/>
      <selection pane="topRight" activeCell="G8" sqref="G8"/>
    </sheetView>
  </sheetViews>
  <sheetFormatPr defaultColWidth="12.5703125" defaultRowHeight="15.75" customHeight="1" x14ac:dyDescent="0.2"/>
  <cols>
    <col min="1" max="1" width="21.85546875" customWidth="1"/>
    <col min="2" max="2" width="15.140625" customWidth="1"/>
    <col min="3" max="3" width="12.5703125" customWidth="1"/>
    <col min="4" max="4" width="14.28515625" customWidth="1"/>
    <col min="5" max="5" width="14" bestFit="1" customWidth="1"/>
    <col min="6" max="6" width="14.5703125" customWidth="1"/>
    <col min="9" max="9" width="12.28515625" customWidth="1"/>
    <col min="10" max="10" width="13.5703125" customWidth="1"/>
    <col min="11" max="11" width="14.42578125" customWidth="1"/>
    <col min="12" max="12" width="13.5703125" customWidth="1"/>
    <col min="13" max="13" width="14.42578125" customWidth="1"/>
    <col min="14" max="14" width="15.140625" customWidth="1"/>
    <col min="15" max="15" width="14.42578125" customWidth="1"/>
    <col min="16" max="17" width="17.42578125" customWidth="1"/>
  </cols>
  <sheetData>
    <row r="1" spans="1:27" x14ac:dyDescent="0.2">
      <c r="A1" s="51" t="s">
        <v>0</v>
      </c>
      <c r="B1" s="51" t="s">
        <v>2</v>
      </c>
      <c r="C1" s="52" t="s">
        <v>3</v>
      </c>
      <c r="D1" s="53" t="s">
        <v>4</v>
      </c>
      <c r="E1" s="53" t="s">
        <v>193</v>
      </c>
      <c r="F1" s="53" t="s">
        <v>6</v>
      </c>
      <c r="G1" s="53" t="s">
        <v>7</v>
      </c>
      <c r="H1" s="53" t="s">
        <v>8</v>
      </c>
      <c r="I1" s="53" t="s">
        <v>194</v>
      </c>
      <c r="J1" s="53" t="s">
        <v>195</v>
      </c>
      <c r="K1" s="53" t="s">
        <v>9</v>
      </c>
      <c r="L1" s="53" t="s">
        <v>10</v>
      </c>
      <c r="M1" s="53" t="s">
        <v>196</v>
      </c>
      <c r="N1" s="53" t="s">
        <v>11</v>
      </c>
      <c r="O1" s="53" t="s">
        <v>12</v>
      </c>
      <c r="P1" s="53" t="s">
        <v>197</v>
      </c>
      <c r="Q1" s="53" t="s">
        <v>13</v>
      </c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">
      <c r="A2" s="54" t="s">
        <v>16</v>
      </c>
      <c r="B2" s="35" t="str">
        <f>RawData!C2</f>
        <v>77.73</v>
      </c>
      <c r="C2" s="36">
        <v>100</v>
      </c>
      <c r="D2" s="37">
        <f t="shared" ref="D2:D42" si="0">IFERROR((E2-B2)/E2, "")</f>
        <v>0.56575418994413407</v>
      </c>
      <c r="E2" s="38">
        <f t="shared" ref="E2:E42" si="1">ROUND($B2 + $C2, -1) - 1</f>
        <v>179</v>
      </c>
      <c r="F2" s="39" t="str">
        <f>RawData!G2</f>
        <v>204.73</v>
      </c>
      <c r="G2" s="40">
        <v>160</v>
      </c>
      <c r="H2" s="41">
        <f t="shared" ref="H2:H42" si="2">IFERROR((I2-F2)/I2, "")</f>
        <v>0.42972144846796662</v>
      </c>
      <c r="I2" s="38">
        <f>ROUND(RawData!$G2 + RawData!$H2, -1) - 1</f>
        <v>359</v>
      </c>
      <c r="J2" s="42">
        <v>499</v>
      </c>
      <c r="K2" s="43">
        <v>659</v>
      </c>
      <c r="L2" s="44" t="s">
        <v>21</v>
      </c>
      <c r="M2" s="40">
        <v>82</v>
      </c>
      <c r="N2" s="45">
        <v>179</v>
      </c>
      <c r="O2" s="45">
        <v>199</v>
      </c>
      <c r="P2" s="46" t="s">
        <v>198</v>
      </c>
      <c r="Q2" s="43">
        <v>149</v>
      </c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2">
      <c r="A3" s="54" t="s">
        <v>24</v>
      </c>
      <c r="B3" s="35" t="str">
        <f>RawData!C3</f>
        <v>77.73</v>
      </c>
      <c r="C3" s="36">
        <v>100</v>
      </c>
      <c r="D3" s="37">
        <f t="shared" si="0"/>
        <v>0.56575418994413407</v>
      </c>
      <c r="E3" s="38">
        <f t="shared" si="1"/>
        <v>179</v>
      </c>
      <c r="F3" s="39" t="str">
        <f>RawData!G3</f>
        <v>153.76</v>
      </c>
      <c r="G3" s="40">
        <v>160</v>
      </c>
      <c r="H3" s="41">
        <f t="shared" si="2"/>
        <v>0.50239482200647256</v>
      </c>
      <c r="I3" s="38">
        <f>ROUND(RawData!$G3 + RawData!$H3, -1) - 1</f>
        <v>309</v>
      </c>
      <c r="J3" s="42">
        <v>429</v>
      </c>
      <c r="K3" s="43">
        <v>579</v>
      </c>
      <c r="L3" s="44" t="s">
        <v>21</v>
      </c>
      <c r="M3" s="40">
        <v>82</v>
      </c>
      <c r="N3" s="45">
        <v>179</v>
      </c>
      <c r="O3" s="45">
        <v>199</v>
      </c>
      <c r="P3" s="46" t="s">
        <v>198</v>
      </c>
      <c r="Q3" s="43">
        <v>149</v>
      </c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x14ac:dyDescent="0.2">
      <c r="A4" s="54" t="s">
        <v>28</v>
      </c>
      <c r="B4" s="35" t="str">
        <f>RawData!C4</f>
        <v>77.73</v>
      </c>
      <c r="C4" s="36">
        <v>100</v>
      </c>
      <c r="D4" s="37">
        <f t="shared" si="0"/>
        <v>0.56575418994413407</v>
      </c>
      <c r="E4" s="38">
        <f t="shared" si="1"/>
        <v>179</v>
      </c>
      <c r="F4" s="39" t="str">
        <f>RawData!G4</f>
        <v>150.64</v>
      </c>
      <c r="G4" s="40">
        <v>150</v>
      </c>
      <c r="H4" s="41">
        <f t="shared" si="2"/>
        <v>0.49618729096989972</v>
      </c>
      <c r="I4" s="38">
        <f>ROUND(RawData!$G4 + RawData!$H4, -1) - 1</f>
        <v>299</v>
      </c>
      <c r="J4" s="42">
        <v>429</v>
      </c>
      <c r="K4" s="43">
        <v>559</v>
      </c>
      <c r="L4" s="44" t="s">
        <v>21</v>
      </c>
      <c r="M4" s="40">
        <v>82</v>
      </c>
      <c r="N4" s="45">
        <v>179</v>
      </c>
      <c r="O4" s="45">
        <v>199</v>
      </c>
      <c r="P4" s="46" t="s">
        <v>198</v>
      </c>
      <c r="Q4" s="43">
        <v>149</v>
      </c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x14ac:dyDescent="0.2">
      <c r="A5" s="54" t="s">
        <v>32</v>
      </c>
      <c r="B5" s="35" t="str">
        <f>RawData!C5</f>
        <v/>
      </c>
      <c r="C5" s="36">
        <v>110</v>
      </c>
      <c r="D5" s="37" t="str">
        <f t="shared" si="0"/>
        <v/>
      </c>
      <c r="E5" s="38" t="e">
        <f t="shared" si="1"/>
        <v>#VALUE!</v>
      </c>
      <c r="F5" s="39" t="str">
        <f>RawData!G5</f>
        <v>293.94</v>
      </c>
      <c r="G5" s="40">
        <v>150</v>
      </c>
      <c r="H5" s="41">
        <f t="shared" si="2"/>
        <v>0.33043280182232349</v>
      </c>
      <c r="I5" s="38">
        <f>ROUND(RawData!$G5 + RawData!$H5, -1) - 1</f>
        <v>439</v>
      </c>
      <c r="J5" s="42"/>
      <c r="K5" s="43">
        <v>569</v>
      </c>
      <c r="L5" s="44" t="s">
        <v>21</v>
      </c>
      <c r="M5" s="40"/>
      <c r="N5" s="45">
        <v>179</v>
      </c>
      <c r="O5" s="45">
        <v>199</v>
      </c>
      <c r="P5" s="46"/>
      <c r="Q5" s="43" t="s">
        <v>21</v>
      </c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x14ac:dyDescent="0.2">
      <c r="A6" s="54" t="s">
        <v>37</v>
      </c>
      <c r="B6" s="35" t="str">
        <f>RawData!C6</f>
        <v>55.57</v>
      </c>
      <c r="C6" s="36">
        <v>100</v>
      </c>
      <c r="D6" s="37">
        <f t="shared" si="0"/>
        <v>0.65050314465408809</v>
      </c>
      <c r="E6" s="38">
        <f t="shared" si="1"/>
        <v>159</v>
      </c>
      <c r="F6" s="39" t="str">
        <f>RawData!G6</f>
        <v>175.19</v>
      </c>
      <c r="G6" s="40">
        <v>150</v>
      </c>
      <c r="H6" s="41">
        <f t="shared" si="2"/>
        <v>0.46750759878419451</v>
      </c>
      <c r="I6" s="38">
        <f>ROUND(RawData!$G6 + RawData!$H6, -1) - 1</f>
        <v>329</v>
      </c>
      <c r="J6" s="47">
        <v>499</v>
      </c>
      <c r="K6" s="43">
        <v>649</v>
      </c>
      <c r="L6" s="48">
        <v>149</v>
      </c>
      <c r="M6" s="40">
        <v>28</v>
      </c>
      <c r="N6" s="45">
        <v>169</v>
      </c>
      <c r="O6" s="45">
        <v>159</v>
      </c>
      <c r="P6" s="46">
        <v>43</v>
      </c>
      <c r="Q6" s="43">
        <v>149</v>
      </c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x14ac:dyDescent="0.2">
      <c r="A7" s="54" t="s">
        <v>42</v>
      </c>
      <c r="B7" s="35" t="str">
        <f>RawData!C7</f>
        <v>52.63</v>
      </c>
      <c r="C7" s="36">
        <v>100</v>
      </c>
      <c r="D7" s="37">
        <f t="shared" si="0"/>
        <v>0.64677852348993292</v>
      </c>
      <c r="E7" s="38">
        <f t="shared" si="1"/>
        <v>149</v>
      </c>
      <c r="F7" s="39" t="str">
        <f>RawData!G7</f>
        <v>130.89</v>
      </c>
      <c r="G7" s="40">
        <v>150</v>
      </c>
      <c r="H7" s="41">
        <f t="shared" si="2"/>
        <v>0.53086021505376346</v>
      </c>
      <c r="I7" s="38">
        <f>ROUND(RawData!$G7 + RawData!$H7, -1) - 1</f>
        <v>279</v>
      </c>
      <c r="J7" s="47">
        <v>407</v>
      </c>
      <c r="K7" s="43">
        <v>549</v>
      </c>
      <c r="L7" s="48">
        <v>149</v>
      </c>
      <c r="M7" s="40">
        <v>25</v>
      </c>
      <c r="N7" s="45">
        <v>169</v>
      </c>
      <c r="O7" s="45">
        <v>159</v>
      </c>
      <c r="P7" s="46">
        <v>43</v>
      </c>
      <c r="Q7" s="43">
        <v>149</v>
      </c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">
      <c r="A8" s="54" t="s">
        <v>47</v>
      </c>
      <c r="B8" s="35" t="str">
        <f>RawData!C8</f>
        <v>43.17</v>
      </c>
      <c r="C8" s="36">
        <v>100</v>
      </c>
      <c r="D8" s="37">
        <f t="shared" si="0"/>
        <v>0.68942446043165462</v>
      </c>
      <c r="E8" s="38">
        <f t="shared" si="1"/>
        <v>139</v>
      </c>
      <c r="F8" s="39" t="str">
        <f>RawData!G8</f>
        <v>81.07</v>
      </c>
      <c r="G8" s="40">
        <v>140</v>
      </c>
      <c r="H8" s="41">
        <f t="shared" si="2"/>
        <v>0.62981735159817354</v>
      </c>
      <c r="I8" s="38">
        <f>ROUND(RawData!$G8 + RawData!$H8, -1) - 1</f>
        <v>219</v>
      </c>
      <c r="J8" s="47">
        <v>407</v>
      </c>
      <c r="K8" s="43">
        <v>549</v>
      </c>
      <c r="L8" s="48">
        <v>139</v>
      </c>
      <c r="M8" s="40">
        <v>25</v>
      </c>
      <c r="N8" s="45">
        <v>159</v>
      </c>
      <c r="O8" s="45">
        <v>159</v>
      </c>
      <c r="P8" s="46">
        <v>43</v>
      </c>
      <c r="Q8" s="43">
        <v>149</v>
      </c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">
      <c r="A9" s="54" t="s">
        <v>52</v>
      </c>
      <c r="B9" s="35" t="str">
        <f>RawData!C9</f>
        <v>33.73</v>
      </c>
      <c r="C9" s="36">
        <v>100</v>
      </c>
      <c r="D9" s="37">
        <f t="shared" si="0"/>
        <v>0.73852713178294582</v>
      </c>
      <c r="E9" s="38">
        <f t="shared" si="1"/>
        <v>129</v>
      </c>
      <c r="F9" s="39" t="str">
        <f>RawData!G9</f>
        <v>70.73</v>
      </c>
      <c r="G9" s="40">
        <v>140</v>
      </c>
      <c r="H9" s="41">
        <f t="shared" si="2"/>
        <v>0.66157894736842093</v>
      </c>
      <c r="I9" s="38">
        <f>ROUND(RawData!$G9 + RawData!$H9, -1) - 1</f>
        <v>209</v>
      </c>
      <c r="J9" s="47">
        <v>335</v>
      </c>
      <c r="K9" s="43">
        <v>449</v>
      </c>
      <c r="L9" s="48">
        <v>139</v>
      </c>
      <c r="M9" s="40">
        <v>22</v>
      </c>
      <c r="N9" s="45">
        <v>159</v>
      </c>
      <c r="O9" s="45">
        <v>159</v>
      </c>
      <c r="P9" s="46">
        <v>38</v>
      </c>
      <c r="Q9" s="43">
        <v>149</v>
      </c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x14ac:dyDescent="0.2">
      <c r="A10" s="54" t="s">
        <v>57</v>
      </c>
      <c r="B10" s="35" t="str">
        <f>RawData!C10</f>
        <v>30.47</v>
      </c>
      <c r="C10" s="36">
        <v>100</v>
      </c>
      <c r="D10" s="37">
        <f t="shared" si="0"/>
        <v>0.76379844961240306</v>
      </c>
      <c r="E10" s="38">
        <f t="shared" si="1"/>
        <v>129</v>
      </c>
      <c r="F10" s="39" t="str">
        <f>RawData!G10</f>
        <v>70.34</v>
      </c>
      <c r="G10" s="40">
        <v>130</v>
      </c>
      <c r="H10" s="41">
        <f t="shared" si="2"/>
        <v>0.64653266331658288</v>
      </c>
      <c r="I10" s="38">
        <f>ROUND(RawData!$G10 + RawData!$H10, -1) - 1</f>
        <v>199</v>
      </c>
      <c r="J10" s="47">
        <v>309</v>
      </c>
      <c r="K10" s="43">
        <v>419</v>
      </c>
      <c r="L10" s="48">
        <v>139</v>
      </c>
      <c r="M10" s="40">
        <v>25</v>
      </c>
      <c r="N10" s="45">
        <v>159</v>
      </c>
      <c r="O10" s="45">
        <v>159</v>
      </c>
      <c r="P10" s="46" t="s">
        <v>21</v>
      </c>
      <c r="Q10" s="43">
        <v>149</v>
      </c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x14ac:dyDescent="0.2">
      <c r="A11" s="54" t="s">
        <v>62</v>
      </c>
      <c r="B11" s="35" t="str">
        <f>RawData!C11</f>
        <v>54.10</v>
      </c>
      <c r="C11" s="36">
        <v>100</v>
      </c>
      <c r="D11" s="37">
        <f t="shared" si="0"/>
        <v>0.63691275167785244</v>
      </c>
      <c r="E11" s="38">
        <f t="shared" si="1"/>
        <v>149</v>
      </c>
      <c r="F11" s="39" t="str">
        <f>RawData!G11</f>
        <v>68.71</v>
      </c>
      <c r="G11" s="40">
        <v>130</v>
      </c>
      <c r="H11" s="41">
        <f t="shared" si="2"/>
        <v>0.65472361809045232</v>
      </c>
      <c r="I11" s="38">
        <f>ROUND(RawData!$G11 + RawData!$H11, -1) - 1</f>
        <v>199</v>
      </c>
      <c r="J11" s="46">
        <v>420</v>
      </c>
      <c r="K11" s="43">
        <v>549</v>
      </c>
      <c r="L11" s="43">
        <v>129</v>
      </c>
      <c r="M11" s="40">
        <v>28.56</v>
      </c>
      <c r="N11" s="45">
        <v>159</v>
      </c>
      <c r="O11" s="45">
        <v>149</v>
      </c>
      <c r="P11" s="46">
        <v>26</v>
      </c>
      <c r="Q11" s="43">
        <v>139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x14ac:dyDescent="0.2">
      <c r="A12" s="54" t="s">
        <v>67</v>
      </c>
      <c r="B12" s="35" t="str">
        <f>RawData!C12</f>
        <v>34.11</v>
      </c>
      <c r="C12" s="36">
        <v>100</v>
      </c>
      <c r="D12" s="37">
        <f t="shared" si="0"/>
        <v>0.73558139534883726</v>
      </c>
      <c r="E12" s="38">
        <f t="shared" si="1"/>
        <v>129</v>
      </c>
      <c r="F12" s="39" t="str">
        <f>RawData!G12</f>
        <v>69.30</v>
      </c>
      <c r="G12" s="40">
        <v>130</v>
      </c>
      <c r="H12" s="41">
        <f t="shared" si="2"/>
        <v>0.65175879396984915</v>
      </c>
      <c r="I12" s="38">
        <f>ROUND(RawData!$G12 + RawData!$H12, -1) - 1</f>
        <v>199</v>
      </c>
      <c r="J12" s="46">
        <v>373</v>
      </c>
      <c r="K12" s="43">
        <v>529</v>
      </c>
      <c r="L12" s="43">
        <v>129</v>
      </c>
      <c r="M12" s="40">
        <v>23.83</v>
      </c>
      <c r="N12" s="45">
        <v>159</v>
      </c>
      <c r="O12" s="45">
        <v>149</v>
      </c>
      <c r="P12" s="46">
        <v>27</v>
      </c>
      <c r="Q12" s="43">
        <v>129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">
      <c r="A13" s="54" t="s">
        <v>72</v>
      </c>
      <c r="B13" s="35" t="str">
        <f>RawData!C13</f>
        <v>32.39</v>
      </c>
      <c r="C13" s="36">
        <v>100</v>
      </c>
      <c r="D13" s="37">
        <f t="shared" si="0"/>
        <v>0.74891472868217057</v>
      </c>
      <c r="E13" s="38">
        <f t="shared" si="1"/>
        <v>129</v>
      </c>
      <c r="F13" s="39" t="str">
        <f>RawData!G13</f>
        <v>86.19</v>
      </c>
      <c r="G13" s="40">
        <v>130</v>
      </c>
      <c r="H13" s="41">
        <f t="shared" si="2"/>
        <v>0.60643835616438357</v>
      </c>
      <c r="I13" s="38">
        <f>ROUND(RawData!$G13 + RawData!$H13, -1) - 1</f>
        <v>219</v>
      </c>
      <c r="J13" s="46">
        <v>373</v>
      </c>
      <c r="K13" s="43">
        <v>499</v>
      </c>
      <c r="L13" s="43">
        <v>129</v>
      </c>
      <c r="M13" s="40">
        <v>22.99</v>
      </c>
      <c r="N13" s="45">
        <v>159</v>
      </c>
      <c r="O13" s="45">
        <v>139</v>
      </c>
      <c r="P13" s="46">
        <v>24</v>
      </c>
      <c r="Q13" s="43">
        <v>99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">
      <c r="A14" s="54" t="s">
        <v>77</v>
      </c>
      <c r="B14" s="35" t="str">
        <f>RawData!C14</f>
        <v>30.81</v>
      </c>
      <c r="C14" s="36">
        <v>70</v>
      </c>
      <c r="D14" s="37">
        <f t="shared" si="0"/>
        <v>0.68878787878787873</v>
      </c>
      <c r="E14" s="38">
        <f t="shared" si="1"/>
        <v>99</v>
      </c>
      <c r="F14" s="39" t="str">
        <f>RawData!G14</f>
        <v>69.30</v>
      </c>
      <c r="G14" s="40">
        <v>120</v>
      </c>
      <c r="H14" s="41">
        <f t="shared" si="2"/>
        <v>0.6333333333333333</v>
      </c>
      <c r="I14" s="38">
        <f>ROUND(RawData!$G14 + RawData!$H14, -1) - 1</f>
        <v>189</v>
      </c>
      <c r="J14" s="46">
        <v>324</v>
      </c>
      <c r="K14" s="43">
        <v>469</v>
      </c>
      <c r="L14" s="43">
        <v>129</v>
      </c>
      <c r="M14" s="40">
        <v>20.68</v>
      </c>
      <c r="N14" s="45">
        <v>159</v>
      </c>
      <c r="O14" s="45">
        <v>139</v>
      </c>
      <c r="P14" s="46">
        <v>22</v>
      </c>
      <c r="Q14" s="43">
        <v>99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x14ac:dyDescent="0.2">
      <c r="A15" s="54" t="s">
        <v>81</v>
      </c>
      <c r="B15" s="35" t="str">
        <f>RawData!C15</f>
        <v>51.43</v>
      </c>
      <c r="C15" s="36">
        <v>100</v>
      </c>
      <c r="D15" s="37">
        <f t="shared" si="0"/>
        <v>0.65483221476510067</v>
      </c>
      <c r="E15" s="38">
        <f t="shared" si="1"/>
        <v>149</v>
      </c>
      <c r="F15" s="39" t="str">
        <f>RawData!G15</f>
        <v>73.47</v>
      </c>
      <c r="G15" s="40">
        <v>120</v>
      </c>
      <c r="H15" s="41">
        <f t="shared" si="2"/>
        <v>0.6112698412698413</v>
      </c>
      <c r="I15" s="38">
        <f>ROUND(RawData!$G15 + RawData!$H15, -1) - 1</f>
        <v>189</v>
      </c>
      <c r="J15" s="46">
        <v>430</v>
      </c>
      <c r="K15" s="43">
        <v>499</v>
      </c>
      <c r="L15" s="43">
        <v>119</v>
      </c>
      <c r="M15" s="40">
        <v>26.21</v>
      </c>
      <c r="N15" s="45">
        <v>149</v>
      </c>
      <c r="O15" s="45">
        <v>139</v>
      </c>
      <c r="P15" s="46">
        <v>17</v>
      </c>
      <c r="Q15" s="43">
        <v>99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2">
      <c r="A16" s="54" t="s">
        <v>86</v>
      </c>
      <c r="B16" s="35" t="str">
        <f>RawData!C16</f>
        <v>36.97</v>
      </c>
      <c r="C16" s="36">
        <v>100</v>
      </c>
      <c r="D16" s="37">
        <f t="shared" si="0"/>
        <v>0.73402877697841729</v>
      </c>
      <c r="E16" s="38">
        <f t="shared" si="1"/>
        <v>139</v>
      </c>
      <c r="F16" s="39" t="str">
        <f>RawData!G16</f>
        <v>69.26</v>
      </c>
      <c r="G16" s="40">
        <v>120</v>
      </c>
      <c r="H16" s="41">
        <f t="shared" si="2"/>
        <v>0.63354497354497352</v>
      </c>
      <c r="I16" s="38">
        <f>ROUND(RawData!$G16 + RawData!$H16, -1) - 1</f>
        <v>189</v>
      </c>
      <c r="J16" s="46">
        <v>373</v>
      </c>
      <c r="K16" s="43">
        <v>449</v>
      </c>
      <c r="L16" s="43">
        <v>119</v>
      </c>
      <c r="M16" s="40">
        <v>23.76</v>
      </c>
      <c r="N16" s="45">
        <v>149</v>
      </c>
      <c r="O16" s="45">
        <v>139</v>
      </c>
      <c r="P16" s="46">
        <v>17</v>
      </c>
      <c r="Q16" s="43">
        <v>99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x14ac:dyDescent="0.2">
      <c r="A17" s="54" t="s">
        <v>91</v>
      </c>
      <c r="B17" s="35" t="str">
        <f>RawData!C17</f>
        <v>33.20</v>
      </c>
      <c r="C17" s="36">
        <v>70</v>
      </c>
      <c r="D17" s="37">
        <f t="shared" si="0"/>
        <v>0.6646464646464646</v>
      </c>
      <c r="E17" s="38">
        <f t="shared" si="1"/>
        <v>99</v>
      </c>
      <c r="F17" s="39" t="str">
        <f>RawData!G17</f>
        <v>63.34</v>
      </c>
      <c r="G17" s="40">
        <v>120</v>
      </c>
      <c r="H17" s="41">
        <f t="shared" si="2"/>
        <v>0.64614525139664802</v>
      </c>
      <c r="I17" s="38">
        <f>ROUND(RawData!$G17 + RawData!$H17, -1) - 1</f>
        <v>179</v>
      </c>
      <c r="J17" s="46">
        <v>373</v>
      </c>
      <c r="K17" s="43">
        <v>449</v>
      </c>
      <c r="L17" s="43">
        <v>119</v>
      </c>
      <c r="M17" s="40">
        <v>21.59</v>
      </c>
      <c r="N17" s="45">
        <v>149</v>
      </c>
      <c r="O17" s="45">
        <v>129</v>
      </c>
      <c r="P17" s="46">
        <v>17</v>
      </c>
      <c r="Q17" s="43">
        <v>99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2">
      <c r="A18" s="54" t="s">
        <v>96</v>
      </c>
      <c r="B18" s="35" t="str">
        <f>RawData!C18</f>
        <v>26.86</v>
      </c>
      <c r="C18" s="36">
        <v>70</v>
      </c>
      <c r="D18" s="37">
        <f t="shared" si="0"/>
        <v>0.72868686868686872</v>
      </c>
      <c r="E18" s="38">
        <f t="shared" si="1"/>
        <v>99</v>
      </c>
      <c r="F18" s="39" t="str">
        <f>RawData!G18</f>
        <v>67.39</v>
      </c>
      <c r="G18" s="40">
        <v>110</v>
      </c>
      <c r="H18" s="41">
        <f t="shared" si="2"/>
        <v>0.62351955307262574</v>
      </c>
      <c r="I18" s="38">
        <f>ROUND(RawData!$G18 + RawData!$H18, -1) - 1</f>
        <v>179</v>
      </c>
      <c r="J18" s="46">
        <v>324</v>
      </c>
      <c r="K18" s="43">
        <v>399</v>
      </c>
      <c r="L18" s="43">
        <v>119</v>
      </c>
      <c r="M18" s="40">
        <v>18.95</v>
      </c>
      <c r="N18" s="45">
        <v>149</v>
      </c>
      <c r="O18" s="45">
        <v>129</v>
      </c>
      <c r="P18" s="46">
        <v>17</v>
      </c>
      <c r="Q18" s="43">
        <v>99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54" t="s">
        <v>101</v>
      </c>
      <c r="B19" s="35" t="str">
        <f>RawData!C19</f>
        <v>36.39</v>
      </c>
      <c r="C19" s="36">
        <v>70</v>
      </c>
      <c r="D19" s="37">
        <f t="shared" si="0"/>
        <v>0.66614678899082569</v>
      </c>
      <c r="E19" s="38">
        <f t="shared" si="1"/>
        <v>109</v>
      </c>
      <c r="F19" s="39" t="str">
        <f>RawData!G19</f>
        <v>63.34</v>
      </c>
      <c r="G19" s="40">
        <v>110</v>
      </c>
      <c r="H19" s="41">
        <f t="shared" si="2"/>
        <v>0.62520710059171591</v>
      </c>
      <c r="I19" s="38">
        <f>ROUND(RawData!$G19 + RawData!$H19, -1) - 1</f>
        <v>169</v>
      </c>
      <c r="J19" s="46" t="s">
        <v>21</v>
      </c>
      <c r="K19" s="44" t="s">
        <v>21</v>
      </c>
      <c r="L19" s="43">
        <v>109</v>
      </c>
      <c r="M19" s="40">
        <v>25.23</v>
      </c>
      <c r="N19" s="44" t="s">
        <v>21</v>
      </c>
      <c r="O19" s="45">
        <v>129</v>
      </c>
      <c r="P19" s="46">
        <v>15</v>
      </c>
      <c r="Q19" s="43">
        <v>99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x14ac:dyDescent="0.2">
      <c r="A20" s="54" t="s">
        <v>105</v>
      </c>
      <c r="B20" s="35" t="str">
        <f>RawData!C20</f>
        <v>35.79</v>
      </c>
      <c r="C20" s="36">
        <v>70</v>
      </c>
      <c r="D20" s="37">
        <f t="shared" si="0"/>
        <v>0.67165137614678905</v>
      </c>
      <c r="E20" s="38">
        <f t="shared" si="1"/>
        <v>109</v>
      </c>
      <c r="F20" s="39" t="str">
        <f>RawData!G20</f>
        <v>74.77</v>
      </c>
      <c r="G20" s="40">
        <v>110</v>
      </c>
      <c r="H20" s="41">
        <f t="shared" si="2"/>
        <v>0.58229050279329608</v>
      </c>
      <c r="I20" s="38">
        <f>ROUND(RawData!$G20 + RawData!$H20, -1) - 1</f>
        <v>179</v>
      </c>
      <c r="J20" s="46" t="s">
        <v>21</v>
      </c>
      <c r="K20" s="44" t="s">
        <v>21</v>
      </c>
      <c r="L20" s="43">
        <v>109</v>
      </c>
      <c r="M20" s="40">
        <v>19.45</v>
      </c>
      <c r="N20" s="44" t="s">
        <v>21</v>
      </c>
      <c r="O20" s="45">
        <v>129</v>
      </c>
      <c r="P20" s="46">
        <v>15</v>
      </c>
      <c r="Q20" s="43">
        <v>99</v>
      </c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x14ac:dyDescent="0.2">
      <c r="A21" s="54" t="s">
        <v>110</v>
      </c>
      <c r="B21" s="35" t="str">
        <f>RawData!C21</f>
        <v>25.64</v>
      </c>
      <c r="C21" s="36">
        <v>70</v>
      </c>
      <c r="D21" s="37">
        <f t="shared" si="0"/>
        <v>0.74101010101010101</v>
      </c>
      <c r="E21" s="38">
        <f t="shared" si="1"/>
        <v>99</v>
      </c>
      <c r="F21" s="39" t="str">
        <f>RawData!G21</f>
        <v>67.39</v>
      </c>
      <c r="G21" s="40">
        <v>110</v>
      </c>
      <c r="H21" s="41">
        <f t="shared" si="2"/>
        <v>0.62351955307262574</v>
      </c>
      <c r="I21" s="38">
        <f>ROUND(RawData!$G21 + RawData!$H21, -1) - 1</f>
        <v>179</v>
      </c>
      <c r="J21" s="46" t="s">
        <v>21</v>
      </c>
      <c r="K21" s="44" t="s">
        <v>21</v>
      </c>
      <c r="L21" s="43">
        <v>109</v>
      </c>
      <c r="M21" s="40">
        <v>18.34</v>
      </c>
      <c r="N21" s="44" t="s">
        <v>21</v>
      </c>
      <c r="O21" s="45">
        <v>119</v>
      </c>
      <c r="P21" s="46">
        <v>15</v>
      </c>
      <c r="Q21" s="43">
        <v>99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x14ac:dyDescent="0.2">
      <c r="A22" s="54" t="s">
        <v>114</v>
      </c>
      <c r="B22" s="35" t="str">
        <f>RawData!C22</f>
        <v>38.01</v>
      </c>
      <c r="C22" s="36">
        <v>70</v>
      </c>
      <c r="D22" s="37">
        <f t="shared" si="0"/>
        <v>0.65128440366972484</v>
      </c>
      <c r="E22" s="38">
        <f t="shared" si="1"/>
        <v>109</v>
      </c>
      <c r="F22" s="39" t="str">
        <f>RawData!G22</f>
        <v/>
      </c>
      <c r="G22" s="40">
        <v>110</v>
      </c>
      <c r="H22" s="41" t="str">
        <f t="shared" si="2"/>
        <v/>
      </c>
      <c r="I22" s="38" t="e">
        <f>ROUND(RawData!$G22 + RawData!$H22, -1) - 1</f>
        <v>#VALUE!</v>
      </c>
      <c r="J22" s="46" t="s">
        <v>21</v>
      </c>
      <c r="K22" s="44" t="s">
        <v>21</v>
      </c>
      <c r="L22" s="43">
        <v>109</v>
      </c>
      <c r="M22" s="40">
        <v>14.52</v>
      </c>
      <c r="N22" s="44" t="s">
        <v>21</v>
      </c>
      <c r="O22" s="45">
        <v>119</v>
      </c>
      <c r="P22" s="46">
        <v>12</v>
      </c>
      <c r="Q22" s="43">
        <v>99</v>
      </c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">
      <c r="A23" s="54" t="s">
        <v>118</v>
      </c>
      <c r="B23" s="35" t="str">
        <f>RawData!C23</f>
        <v>35.36</v>
      </c>
      <c r="C23" s="36">
        <v>70</v>
      </c>
      <c r="D23" s="37">
        <f t="shared" si="0"/>
        <v>0.67559633027522936</v>
      </c>
      <c r="E23" s="38">
        <f t="shared" si="1"/>
        <v>109</v>
      </c>
      <c r="F23" s="39" t="str">
        <f>RawData!G23</f>
        <v>68.87</v>
      </c>
      <c r="G23" s="40">
        <v>100</v>
      </c>
      <c r="H23" s="41">
        <f t="shared" si="2"/>
        <v>0.59248520710059172</v>
      </c>
      <c r="I23" s="38">
        <f>ROUND(RawData!$G23 + RawData!$H23, -1) - 1</f>
        <v>169</v>
      </c>
      <c r="J23" s="46" t="s">
        <v>21</v>
      </c>
      <c r="K23" s="44" t="s">
        <v>21</v>
      </c>
      <c r="L23" s="43">
        <v>99</v>
      </c>
      <c r="M23" s="40">
        <v>23.45</v>
      </c>
      <c r="N23" s="44" t="s">
        <v>21</v>
      </c>
      <c r="O23" s="45">
        <v>119</v>
      </c>
      <c r="P23" s="46">
        <v>14</v>
      </c>
      <c r="Q23" s="43">
        <v>99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x14ac:dyDescent="0.2">
      <c r="A24" s="54" t="s">
        <v>123</v>
      </c>
      <c r="B24" s="35" t="str">
        <f>RawData!C24</f>
        <v>22.79</v>
      </c>
      <c r="C24" s="36">
        <v>70</v>
      </c>
      <c r="D24" s="37">
        <f t="shared" si="0"/>
        <v>0.74393258426966302</v>
      </c>
      <c r="E24" s="38">
        <f t="shared" si="1"/>
        <v>89</v>
      </c>
      <c r="F24" s="39" t="str">
        <f>RawData!G24</f>
        <v>60.01</v>
      </c>
      <c r="G24" s="40">
        <v>100</v>
      </c>
      <c r="H24" s="41">
        <f t="shared" si="2"/>
        <v>0.62257861635220135</v>
      </c>
      <c r="I24" s="38">
        <f>ROUND(RawData!$G24 + RawData!$H24, -1) - 1</f>
        <v>159</v>
      </c>
      <c r="J24" s="46" t="s">
        <v>21</v>
      </c>
      <c r="K24" s="44" t="s">
        <v>21</v>
      </c>
      <c r="L24" s="43">
        <v>99</v>
      </c>
      <c r="M24" s="39">
        <v>15.76</v>
      </c>
      <c r="N24" s="44" t="s">
        <v>21</v>
      </c>
      <c r="O24" s="45">
        <v>119</v>
      </c>
      <c r="P24" s="46">
        <v>14</v>
      </c>
      <c r="Q24" s="43">
        <v>99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2">
      <c r="A25" s="54" t="s">
        <v>128</v>
      </c>
      <c r="B25" s="35" t="str">
        <f>RawData!C25</f>
        <v>22.79</v>
      </c>
      <c r="C25" s="36">
        <v>70</v>
      </c>
      <c r="D25" s="37">
        <f t="shared" si="0"/>
        <v>0.74393258426966302</v>
      </c>
      <c r="E25" s="38">
        <f t="shared" si="1"/>
        <v>89</v>
      </c>
      <c r="F25" s="39" t="str">
        <f>RawData!G25</f>
        <v>60.01</v>
      </c>
      <c r="G25" s="40">
        <v>90</v>
      </c>
      <c r="H25" s="41">
        <f t="shared" si="2"/>
        <v>0.59724832214765111</v>
      </c>
      <c r="I25" s="38">
        <f>ROUND(RawData!$G25 + RawData!$H25, -1) - 1</f>
        <v>149</v>
      </c>
      <c r="J25" s="46" t="s">
        <v>21</v>
      </c>
      <c r="K25" s="44" t="s">
        <v>21</v>
      </c>
      <c r="L25" s="43">
        <v>89</v>
      </c>
      <c r="M25" s="39">
        <v>15.76</v>
      </c>
      <c r="N25" s="44" t="s">
        <v>21</v>
      </c>
      <c r="O25" s="45">
        <v>119</v>
      </c>
      <c r="P25" s="46">
        <v>8</v>
      </c>
      <c r="Q25" s="43">
        <v>99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x14ac:dyDescent="0.2">
      <c r="A26" s="54" t="s">
        <v>129</v>
      </c>
      <c r="B26" s="35" t="str">
        <f>RawData!C26</f>
        <v>37.11</v>
      </c>
      <c r="C26" s="36">
        <v>70</v>
      </c>
      <c r="D26" s="37">
        <f t="shared" si="0"/>
        <v>0.65954128440366977</v>
      </c>
      <c r="E26" s="38">
        <f t="shared" si="1"/>
        <v>109</v>
      </c>
      <c r="F26" s="39" t="str">
        <f>RawData!G26</f>
        <v>Not Available</v>
      </c>
      <c r="G26" s="40">
        <v>1</v>
      </c>
      <c r="H26" s="41" t="str">
        <f t="shared" si="2"/>
        <v/>
      </c>
      <c r="I26" s="38" t="e">
        <f>ROUND(RawData!$G26 + RawData!$H26, -1) - 1</f>
        <v>#VALUE!</v>
      </c>
      <c r="J26" s="46" t="s">
        <v>21</v>
      </c>
      <c r="K26" s="44" t="s">
        <v>21</v>
      </c>
      <c r="L26" s="43">
        <v>89</v>
      </c>
      <c r="M26" s="40">
        <v>15.24</v>
      </c>
      <c r="N26" s="44" t="s">
        <v>21</v>
      </c>
      <c r="O26" s="45">
        <v>119</v>
      </c>
      <c r="P26" s="46">
        <v>15</v>
      </c>
      <c r="Q26" s="43">
        <v>99</v>
      </c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x14ac:dyDescent="0.2">
      <c r="A27" s="54" t="s">
        <v>132</v>
      </c>
      <c r="B27" s="35" t="str">
        <f>RawData!C27</f>
        <v>21.77</v>
      </c>
      <c r="C27" s="36">
        <v>70</v>
      </c>
      <c r="D27" s="37">
        <f t="shared" si="0"/>
        <v>0.75539325842696636</v>
      </c>
      <c r="E27" s="38">
        <f t="shared" si="1"/>
        <v>89</v>
      </c>
      <c r="F27" s="39" t="str">
        <f>RawData!G27</f>
        <v>57.50</v>
      </c>
      <c r="G27" s="40">
        <v>90</v>
      </c>
      <c r="H27" s="41">
        <f t="shared" si="2"/>
        <v>0.61409395973154357</v>
      </c>
      <c r="I27" s="38">
        <f>ROUND(RawData!$G27 + RawData!$H27, -1) - 1</f>
        <v>149</v>
      </c>
      <c r="J27" s="46" t="s">
        <v>21</v>
      </c>
      <c r="K27" s="44" t="s">
        <v>21</v>
      </c>
      <c r="L27" s="43">
        <v>79</v>
      </c>
      <c r="M27" s="40">
        <v>19.940000000000001</v>
      </c>
      <c r="N27" s="44" t="s">
        <v>21</v>
      </c>
      <c r="O27" s="45">
        <v>119</v>
      </c>
      <c r="P27" s="46">
        <v>11</v>
      </c>
      <c r="Q27" s="43">
        <v>99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2">
      <c r="A28" s="54" t="s">
        <v>137</v>
      </c>
      <c r="B28" s="35" t="str">
        <f>RawData!C28</f>
        <v>22.36</v>
      </c>
      <c r="C28" s="36">
        <v>70</v>
      </c>
      <c r="D28" s="37">
        <f t="shared" si="0"/>
        <v>0.74876404494382021</v>
      </c>
      <c r="E28" s="38">
        <f t="shared" si="1"/>
        <v>89</v>
      </c>
      <c r="F28" s="39" t="str">
        <f>RawData!G28</f>
        <v>63.11</v>
      </c>
      <c r="G28" s="40">
        <v>90</v>
      </c>
      <c r="H28" s="41">
        <f t="shared" si="2"/>
        <v>0.57644295302013426</v>
      </c>
      <c r="I28" s="38">
        <f>ROUND(RawData!$G28 + RawData!$H28, -1) - 1</f>
        <v>149</v>
      </c>
      <c r="J28" s="46" t="s">
        <v>21</v>
      </c>
      <c r="K28" s="44" t="s">
        <v>21</v>
      </c>
      <c r="L28" s="43">
        <v>79</v>
      </c>
      <c r="M28" s="40">
        <v>27.88</v>
      </c>
      <c r="N28" s="44" t="s">
        <v>21</v>
      </c>
      <c r="O28" s="45">
        <v>119</v>
      </c>
      <c r="P28" s="46">
        <v>10</v>
      </c>
      <c r="Q28" s="43">
        <v>99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2">
      <c r="A29" s="54" t="s">
        <v>142</v>
      </c>
      <c r="B29" s="35" t="str">
        <f>RawData!C29</f>
        <v>20.73</v>
      </c>
      <c r="C29" s="36">
        <v>70</v>
      </c>
      <c r="D29" s="37">
        <f t="shared" si="0"/>
        <v>0.76707865168539324</v>
      </c>
      <c r="E29" s="38">
        <f t="shared" si="1"/>
        <v>89</v>
      </c>
      <c r="F29" s="39" t="str">
        <f>RawData!G29</f>
        <v>25.37</v>
      </c>
      <c r="G29" s="40">
        <v>90</v>
      </c>
      <c r="H29" s="41">
        <f t="shared" si="2"/>
        <v>0.78680672268907559</v>
      </c>
      <c r="I29" s="38">
        <f>ROUND(RawData!$G29 + RawData!$H29, -1) - 1</f>
        <v>119</v>
      </c>
      <c r="J29" s="46" t="s">
        <v>21</v>
      </c>
      <c r="K29" s="44" t="s">
        <v>21</v>
      </c>
      <c r="L29" s="43">
        <v>79</v>
      </c>
      <c r="M29" s="40">
        <v>23.65</v>
      </c>
      <c r="N29" s="44" t="s">
        <v>21</v>
      </c>
      <c r="O29" s="45">
        <v>99</v>
      </c>
      <c r="P29" s="46">
        <v>7</v>
      </c>
      <c r="Q29" s="43">
        <v>89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2">
      <c r="A30" s="54" t="s">
        <v>147</v>
      </c>
      <c r="B30" s="35" t="str">
        <f>RawData!C30</f>
        <v>21.10</v>
      </c>
      <c r="C30" s="36">
        <v>70</v>
      </c>
      <c r="D30" s="37">
        <f t="shared" si="0"/>
        <v>0.76292134831460678</v>
      </c>
      <c r="E30" s="38">
        <f t="shared" si="1"/>
        <v>89</v>
      </c>
      <c r="F30" s="39" t="str">
        <f>RawData!G30</f>
        <v>48.40</v>
      </c>
      <c r="G30" s="40">
        <v>90</v>
      </c>
      <c r="H30" s="41">
        <f t="shared" si="2"/>
        <v>0.65179856115107915</v>
      </c>
      <c r="I30" s="38">
        <f>ROUND(RawData!$G30 + RawData!$H30, -1) - 1</f>
        <v>139</v>
      </c>
      <c r="J30" s="46" t="s">
        <v>21</v>
      </c>
      <c r="K30" s="44" t="s">
        <v>21</v>
      </c>
      <c r="L30" s="43">
        <v>79</v>
      </c>
      <c r="M30" s="40">
        <v>20.64</v>
      </c>
      <c r="N30" s="44" t="s">
        <v>21</v>
      </c>
      <c r="O30" s="45">
        <v>99</v>
      </c>
      <c r="P30" s="46">
        <v>10</v>
      </c>
      <c r="Q30" s="43">
        <v>89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2">
      <c r="A31" s="54" t="s">
        <v>152</v>
      </c>
      <c r="B31" s="35" t="str">
        <f>RawData!C31</f>
        <v>22.94</v>
      </c>
      <c r="C31" s="36">
        <v>70</v>
      </c>
      <c r="D31" s="37">
        <f t="shared" si="0"/>
        <v>0.74224719101123593</v>
      </c>
      <c r="E31" s="38">
        <f t="shared" si="1"/>
        <v>89</v>
      </c>
      <c r="F31" s="39" t="str">
        <f>RawData!G31</f>
        <v>51.10</v>
      </c>
      <c r="G31" s="40">
        <v>80</v>
      </c>
      <c r="H31" s="41">
        <f t="shared" si="2"/>
        <v>0.60387596899224816</v>
      </c>
      <c r="I31" s="38">
        <f>ROUND(RawData!$G31 + RawData!$H31, -1) - 1</f>
        <v>129</v>
      </c>
      <c r="J31" s="46" t="s">
        <v>21</v>
      </c>
      <c r="K31" s="44" t="s">
        <v>21</v>
      </c>
      <c r="L31" s="43">
        <v>79</v>
      </c>
      <c r="M31" s="40">
        <v>22.19</v>
      </c>
      <c r="N31" s="44" t="s">
        <v>21</v>
      </c>
      <c r="O31" s="45">
        <v>99</v>
      </c>
      <c r="P31" s="46">
        <v>10</v>
      </c>
      <c r="Q31" s="43">
        <v>89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x14ac:dyDescent="0.2">
      <c r="A32" s="54" t="s">
        <v>157</v>
      </c>
      <c r="B32" s="35" t="str">
        <f>RawData!C32</f>
        <v>22.94</v>
      </c>
      <c r="C32" s="36">
        <v>70</v>
      </c>
      <c r="D32" s="37">
        <f t="shared" si="0"/>
        <v>0.74224719101123593</v>
      </c>
      <c r="E32" s="38">
        <f t="shared" si="1"/>
        <v>89</v>
      </c>
      <c r="F32" s="39" t="str">
        <f>RawData!G32</f>
        <v>50.26</v>
      </c>
      <c r="G32" s="40">
        <v>80</v>
      </c>
      <c r="H32" s="41">
        <f t="shared" si="2"/>
        <v>0.61038759689922484</v>
      </c>
      <c r="I32" s="38">
        <f>ROUND(RawData!$G32 + RawData!$H32, -1) - 1</f>
        <v>129</v>
      </c>
      <c r="J32" s="46" t="s">
        <v>21</v>
      </c>
      <c r="K32" s="44" t="s">
        <v>21</v>
      </c>
      <c r="L32" s="43">
        <v>79</v>
      </c>
      <c r="M32" s="40">
        <v>18.87</v>
      </c>
      <c r="N32" s="44" t="s">
        <v>21</v>
      </c>
      <c r="O32" s="45">
        <v>99</v>
      </c>
      <c r="P32" s="46">
        <v>10</v>
      </c>
      <c r="Q32" s="43">
        <v>89</v>
      </c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x14ac:dyDescent="0.2">
      <c r="A33" s="54" t="s">
        <v>161</v>
      </c>
      <c r="B33" s="35" t="str">
        <f>RawData!C33</f>
        <v>20.53</v>
      </c>
      <c r="C33" s="36">
        <v>70</v>
      </c>
      <c r="D33" s="37">
        <f t="shared" si="0"/>
        <v>0.76932584269662918</v>
      </c>
      <c r="E33" s="38">
        <f t="shared" si="1"/>
        <v>89</v>
      </c>
      <c r="F33" s="39" t="str">
        <f>RawData!G33</f>
        <v>23.97</v>
      </c>
      <c r="G33" s="40">
        <v>80</v>
      </c>
      <c r="H33" s="41">
        <f t="shared" si="2"/>
        <v>0.75787878787878793</v>
      </c>
      <c r="I33" s="38">
        <f>ROUND(RawData!$G33 + RawData!$H33, -1) - 1</f>
        <v>99</v>
      </c>
      <c r="J33" s="46" t="s">
        <v>21</v>
      </c>
      <c r="K33" s="44" t="s">
        <v>21</v>
      </c>
      <c r="L33" s="43">
        <v>79</v>
      </c>
      <c r="M33" s="40">
        <v>19.309999999999999</v>
      </c>
      <c r="N33" s="44" t="s">
        <v>21</v>
      </c>
      <c r="O33" s="45">
        <v>99</v>
      </c>
      <c r="P33" s="46">
        <v>10</v>
      </c>
      <c r="Q33" s="43">
        <v>89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2">
      <c r="A34" s="54" t="s">
        <v>166</v>
      </c>
      <c r="B34" s="35" t="str">
        <f>RawData!C34</f>
        <v/>
      </c>
      <c r="C34" s="49"/>
      <c r="D34" s="50" t="str">
        <f t="shared" si="0"/>
        <v/>
      </c>
      <c r="E34" s="38" t="e">
        <f t="shared" si="1"/>
        <v>#VALUE!</v>
      </c>
      <c r="F34" s="39" t="str">
        <f>RawData!G34</f>
        <v>28.61</v>
      </c>
      <c r="G34" s="40">
        <v>80</v>
      </c>
      <c r="H34" s="41">
        <f t="shared" si="2"/>
        <v>0.73752293577981654</v>
      </c>
      <c r="I34" s="38">
        <f>ROUND(RawData!$G34 + RawData!$H34, -1) - 1</f>
        <v>109</v>
      </c>
      <c r="J34" s="46" t="s">
        <v>21</v>
      </c>
      <c r="K34" s="44" t="s">
        <v>21</v>
      </c>
      <c r="L34" s="43">
        <v>69</v>
      </c>
      <c r="M34" s="40">
        <v>15.36</v>
      </c>
      <c r="N34" s="44" t="s">
        <v>21</v>
      </c>
      <c r="O34" s="45">
        <v>79</v>
      </c>
      <c r="P34" s="46">
        <v>10</v>
      </c>
      <c r="Q34" s="43">
        <v>79</v>
      </c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x14ac:dyDescent="0.2">
      <c r="A35" s="54" t="s">
        <v>169</v>
      </c>
      <c r="B35" s="35" t="str">
        <f>RawData!C35</f>
        <v/>
      </c>
      <c r="C35" s="49"/>
      <c r="D35" s="50" t="str">
        <f t="shared" si="0"/>
        <v/>
      </c>
      <c r="E35" s="38" t="e">
        <f t="shared" si="1"/>
        <v>#VALUE!</v>
      </c>
      <c r="F35" s="39" t="str">
        <f>RawData!G35</f>
        <v>19.89</v>
      </c>
      <c r="G35" s="40">
        <v>80</v>
      </c>
      <c r="H35" s="41">
        <f t="shared" si="2"/>
        <v>0.79909090909090907</v>
      </c>
      <c r="I35" s="38">
        <f>ROUND(RawData!$G35 + RawData!$H35, -1) - 1</f>
        <v>99</v>
      </c>
      <c r="J35" s="46" t="s">
        <v>21</v>
      </c>
      <c r="K35" s="44" t="s">
        <v>21</v>
      </c>
      <c r="L35" s="43">
        <v>69</v>
      </c>
      <c r="M35" s="40">
        <v>14.95</v>
      </c>
      <c r="N35" s="44" t="s">
        <v>21</v>
      </c>
      <c r="O35" s="45">
        <v>79</v>
      </c>
      <c r="P35" s="46">
        <v>10</v>
      </c>
      <c r="Q35" s="43">
        <v>79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2">
      <c r="A36" s="54" t="s">
        <v>172</v>
      </c>
      <c r="B36" s="35" t="str">
        <f>RawData!C36</f>
        <v/>
      </c>
      <c r="C36" s="49"/>
      <c r="D36" s="50" t="str">
        <f t="shared" si="0"/>
        <v/>
      </c>
      <c r="E36" s="38" t="e">
        <f t="shared" si="1"/>
        <v>#VALUE!</v>
      </c>
      <c r="F36" s="39" t="str">
        <f>RawData!G36</f>
        <v>19.89</v>
      </c>
      <c r="G36" s="40">
        <v>80</v>
      </c>
      <c r="H36" s="41">
        <f t="shared" si="2"/>
        <v>0.79909090909090907</v>
      </c>
      <c r="I36" s="38">
        <f>ROUND(RawData!$G36 + RawData!$H36, -1) - 1</f>
        <v>99</v>
      </c>
      <c r="J36" s="46" t="s">
        <v>21</v>
      </c>
      <c r="K36" s="44" t="s">
        <v>21</v>
      </c>
      <c r="L36" s="43">
        <v>69</v>
      </c>
      <c r="M36" s="40">
        <v>13.12</v>
      </c>
      <c r="N36" s="44" t="s">
        <v>21</v>
      </c>
      <c r="O36" s="45">
        <v>79</v>
      </c>
      <c r="P36" s="46">
        <v>10</v>
      </c>
      <c r="Q36" s="43">
        <v>79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2">
      <c r="A37" s="54" t="s">
        <v>173</v>
      </c>
      <c r="B37" s="35" t="str">
        <f>RawData!C37</f>
        <v/>
      </c>
      <c r="C37" s="49"/>
      <c r="D37" s="50" t="str">
        <f t="shared" si="0"/>
        <v/>
      </c>
      <c r="E37" s="38" t="e">
        <f t="shared" si="1"/>
        <v>#VALUE!</v>
      </c>
      <c r="F37" s="39" t="str">
        <f>RawData!G37</f>
        <v>30.06</v>
      </c>
      <c r="G37" s="40">
        <v>80</v>
      </c>
      <c r="H37" s="41">
        <f t="shared" si="2"/>
        <v>0.72422018348623851</v>
      </c>
      <c r="I37" s="38">
        <f>ROUND(RawData!$G37 + RawData!$H37, -1) - 1</f>
        <v>109</v>
      </c>
      <c r="J37" s="46" t="s">
        <v>21</v>
      </c>
      <c r="K37" s="44" t="s">
        <v>21</v>
      </c>
      <c r="L37" s="43">
        <v>69</v>
      </c>
      <c r="M37" s="40">
        <v>13.21</v>
      </c>
      <c r="N37" s="44" t="s">
        <v>21</v>
      </c>
      <c r="O37" s="45">
        <v>79</v>
      </c>
      <c r="P37" s="46" t="s">
        <v>21</v>
      </c>
      <c r="Q37" s="43" t="s">
        <v>21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2">
      <c r="A38" s="54" t="s">
        <v>176</v>
      </c>
      <c r="B38" s="35" t="str">
        <f>RawData!C38</f>
        <v/>
      </c>
      <c r="C38" s="49"/>
      <c r="D38" s="50" t="str">
        <f t="shared" si="0"/>
        <v/>
      </c>
      <c r="E38" s="38" t="e">
        <f t="shared" si="1"/>
        <v>#VALUE!</v>
      </c>
      <c r="F38" s="39" t="str">
        <f>RawData!G38</f>
        <v>20.79</v>
      </c>
      <c r="G38" s="40">
        <v>80</v>
      </c>
      <c r="H38" s="41">
        <f t="shared" si="2"/>
        <v>0.79</v>
      </c>
      <c r="I38" s="38">
        <f>ROUND(RawData!$G38 + RawData!$H38, -1) - 1</f>
        <v>99</v>
      </c>
      <c r="J38" s="46" t="s">
        <v>21</v>
      </c>
      <c r="K38" s="44" t="s">
        <v>21</v>
      </c>
      <c r="L38" s="43">
        <v>69</v>
      </c>
      <c r="M38" s="40">
        <v>11.42</v>
      </c>
      <c r="N38" s="44" t="s">
        <v>21</v>
      </c>
      <c r="O38" s="45">
        <v>79</v>
      </c>
      <c r="P38" s="46" t="s">
        <v>21</v>
      </c>
      <c r="Q38" s="43" t="s">
        <v>21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2">
      <c r="A39" s="54" t="s">
        <v>179</v>
      </c>
      <c r="B39" s="35" t="str">
        <f>RawData!C39</f>
        <v/>
      </c>
      <c r="C39" s="49"/>
      <c r="D39" s="50" t="str">
        <f t="shared" si="0"/>
        <v/>
      </c>
      <c r="E39" s="38" t="e">
        <f t="shared" si="1"/>
        <v>#VALUE!</v>
      </c>
      <c r="F39" s="39" t="str">
        <f>RawData!G39</f>
        <v>25.33</v>
      </c>
      <c r="G39" s="40">
        <v>80</v>
      </c>
      <c r="H39" s="41">
        <f t="shared" si="2"/>
        <v>0.76761467889908264</v>
      </c>
      <c r="I39" s="38">
        <f>ROUND(RawData!$G39 + RawData!$H39, -1) - 1</f>
        <v>109</v>
      </c>
      <c r="J39" s="46"/>
      <c r="K39" s="44" t="s">
        <v>21</v>
      </c>
      <c r="L39" s="43">
        <v>59</v>
      </c>
      <c r="M39" s="42"/>
      <c r="N39" s="44" t="s">
        <v>21</v>
      </c>
      <c r="O39" s="44" t="s">
        <v>21</v>
      </c>
      <c r="P39" s="46"/>
      <c r="Q39" s="43" t="s">
        <v>21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2">
      <c r="A40" s="54" t="s">
        <v>182</v>
      </c>
      <c r="B40" s="35" t="str">
        <f>RawData!C40</f>
        <v>18.70</v>
      </c>
      <c r="C40" s="49"/>
      <c r="D40" s="50">
        <f t="shared" si="0"/>
        <v>1.5789473684210565E-2</v>
      </c>
      <c r="E40" s="38">
        <f t="shared" si="1"/>
        <v>19</v>
      </c>
      <c r="F40" s="39" t="str">
        <f>RawData!G40</f>
        <v>18.66</v>
      </c>
      <c r="G40" s="40">
        <v>80</v>
      </c>
      <c r="H40" s="41">
        <f t="shared" si="2"/>
        <v>0.81151515151515152</v>
      </c>
      <c r="I40" s="38">
        <f>ROUND(RawData!$G40 + RawData!$H40, -1) - 1</f>
        <v>99</v>
      </c>
      <c r="J40" s="46"/>
      <c r="K40" s="44" t="s">
        <v>21</v>
      </c>
      <c r="L40" s="43">
        <v>59</v>
      </c>
      <c r="M40" s="42"/>
      <c r="N40" s="44" t="s">
        <v>21</v>
      </c>
      <c r="O40" s="44" t="s">
        <v>21</v>
      </c>
      <c r="P40" s="46"/>
      <c r="Q40" s="43" t="s">
        <v>21</v>
      </c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2">
      <c r="A41" s="54" t="s">
        <v>187</v>
      </c>
      <c r="B41" s="35" t="str">
        <f>RawData!C41</f>
        <v/>
      </c>
      <c r="C41" s="49"/>
      <c r="D41" s="50" t="str">
        <f t="shared" si="0"/>
        <v/>
      </c>
      <c r="E41" s="38" t="e">
        <f t="shared" si="1"/>
        <v>#VALUE!</v>
      </c>
      <c r="F41" s="39" t="str">
        <f>RawData!G41</f>
        <v>24.16</v>
      </c>
      <c r="G41" s="40">
        <v>80</v>
      </c>
      <c r="H41" s="41">
        <f t="shared" si="2"/>
        <v>0.75595959595959594</v>
      </c>
      <c r="I41" s="38">
        <f>ROUND(RawData!$G41 + RawData!$H41, -1) - 1</f>
        <v>99</v>
      </c>
      <c r="J41" s="46"/>
      <c r="K41" s="44" t="s">
        <v>21</v>
      </c>
      <c r="L41" s="43">
        <v>59</v>
      </c>
      <c r="M41" s="42"/>
      <c r="N41" s="44" t="s">
        <v>21</v>
      </c>
      <c r="O41" s="44" t="s">
        <v>21</v>
      </c>
      <c r="P41" s="46"/>
      <c r="Q41" s="43" t="s">
        <v>21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2">
      <c r="A42" s="54" t="s">
        <v>190</v>
      </c>
      <c r="B42" s="35" t="str">
        <f>RawData!C42</f>
        <v/>
      </c>
      <c r="C42" s="49"/>
      <c r="D42" s="50" t="str">
        <f t="shared" si="0"/>
        <v/>
      </c>
      <c r="E42" s="38" t="e">
        <f t="shared" si="1"/>
        <v>#VALUE!</v>
      </c>
      <c r="F42" s="39" t="str">
        <f>RawData!G42</f>
        <v>18.99</v>
      </c>
      <c r="G42" s="40">
        <v>80</v>
      </c>
      <c r="H42" s="41">
        <f t="shared" si="2"/>
        <v>0.80818181818181822</v>
      </c>
      <c r="I42" s="38">
        <f>ROUND(RawData!$G42 + RawData!$H42, -1) - 1</f>
        <v>99</v>
      </c>
      <c r="J42" s="46"/>
      <c r="K42" s="44" t="s">
        <v>21</v>
      </c>
      <c r="L42" s="43">
        <v>59</v>
      </c>
      <c r="M42" s="42"/>
      <c r="N42" s="44" t="s">
        <v>21</v>
      </c>
      <c r="O42" s="44" t="s">
        <v>21</v>
      </c>
      <c r="P42" s="46"/>
      <c r="Q42" s="43" t="s">
        <v>21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1:27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1:27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1:27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1:27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1:27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1:27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1:27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1:27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1:27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1:27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1:27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 spans="1:27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 spans="1:27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 spans="1:27" x14ac:dyDescent="0.2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 spans="1:27" x14ac:dyDescent="0.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98"/>
  <sheetViews>
    <sheetView topLeftCell="A31" workbookViewId="0">
      <selection activeCell="G49" sqref="G49"/>
    </sheetView>
  </sheetViews>
  <sheetFormatPr defaultColWidth="12.5703125" defaultRowHeight="15.75" customHeight="1" x14ac:dyDescent="0.2"/>
  <cols>
    <col min="1" max="1" width="16.7109375" bestFit="1" customWidth="1"/>
    <col min="2" max="2" width="12.42578125" bestFit="1" customWidth="1"/>
    <col min="3" max="3" width="11.42578125" bestFit="1" customWidth="1"/>
    <col min="5" max="6" width="11.42578125" bestFit="1" customWidth="1"/>
    <col min="8" max="8" width="8.7109375" bestFit="1" customWidth="1"/>
    <col min="9" max="9" width="11.42578125" bestFit="1" customWidth="1"/>
    <col min="11" max="11" width="16.7109375" bestFit="1" customWidth="1"/>
    <col min="12" max="14" width="11.42578125" bestFit="1" customWidth="1"/>
  </cols>
  <sheetData>
    <row r="1" spans="1:27" x14ac:dyDescent="0.2">
      <c r="A1" s="55" t="s">
        <v>199</v>
      </c>
      <c r="B1" s="55" t="s">
        <v>200</v>
      </c>
      <c r="C1" s="55" t="s">
        <v>201</v>
      </c>
      <c r="D1" s="55" t="s">
        <v>202</v>
      </c>
      <c r="E1" s="55" t="s">
        <v>203</v>
      </c>
      <c r="F1" s="55" t="s">
        <v>13</v>
      </c>
      <c r="G1" s="34"/>
      <c r="J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x14ac:dyDescent="0.2">
      <c r="A2" s="56" t="s">
        <v>280</v>
      </c>
      <c r="B2" s="57">
        <v>349</v>
      </c>
      <c r="C2" s="58">
        <v>449</v>
      </c>
      <c r="D2" s="59">
        <v>119</v>
      </c>
      <c r="E2" s="59">
        <v>129</v>
      </c>
      <c r="F2" s="59">
        <v>129</v>
      </c>
      <c r="G2" s="34"/>
      <c r="J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spans="1:27" x14ac:dyDescent="0.2">
      <c r="A3" s="56" t="s">
        <v>282</v>
      </c>
      <c r="B3" s="59">
        <v>269</v>
      </c>
      <c r="C3" s="59"/>
      <c r="D3" s="59">
        <v>119</v>
      </c>
      <c r="E3" s="59">
        <v>129</v>
      </c>
      <c r="F3" s="59">
        <v>129</v>
      </c>
      <c r="G3" s="34"/>
      <c r="J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 spans="1:27" x14ac:dyDescent="0.2">
      <c r="A4" s="56" t="s">
        <v>281</v>
      </c>
      <c r="B4" s="59">
        <v>249</v>
      </c>
      <c r="C4" s="59"/>
      <c r="D4" s="59">
        <v>119</v>
      </c>
      <c r="E4" s="59">
        <v>129</v>
      </c>
      <c r="F4" s="59">
        <v>129</v>
      </c>
      <c r="G4" s="34"/>
      <c r="J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spans="1:27" x14ac:dyDescent="0.2">
      <c r="A5" s="56" t="s">
        <v>208</v>
      </c>
      <c r="B5" s="57">
        <v>349</v>
      </c>
      <c r="C5" s="58">
        <v>449</v>
      </c>
      <c r="D5" s="59">
        <v>119</v>
      </c>
      <c r="E5" s="59">
        <v>129</v>
      </c>
      <c r="F5" s="59">
        <v>129</v>
      </c>
      <c r="G5" s="34"/>
      <c r="J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x14ac:dyDescent="0.2">
      <c r="A6" s="56" t="s">
        <v>211</v>
      </c>
      <c r="B6" s="59">
        <v>269</v>
      </c>
      <c r="C6" s="59"/>
      <c r="D6" s="59">
        <v>119</v>
      </c>
      <c r="E6" s="59">
        <v>129</v>
      </c>
      <c r="F6" s="59">
        <v>129</v>
      </c>
      <c r="G6" s="34"/>
      <c r="J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27" x14ac:dyDescent="0.2">
      <c r="A7" s="56" t="s">
        <v>214</v>
      </c>
      <c r="B7" s="59">
        <v>249</v>
      </c>
      <c r="C7" s="59"/>
      <c r="D7" s="59">
        <v>119</v>
      </c>
      <c r="E7" s="59">
        <v>129</v>
      </c>
      <c r="F7" s="59">
        <v>129</v>
      </c>
      <c r="G7" s="34"/>
      <c r="J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x14ac:dyDescent="0.2">
      <c r="A8" s="56" t="s">
        <v>217</v>
      </c>
      <c r="B8" s="57">
        <v>349</v>
      </c>
      <c r="C8" s="58">
        <v>439</v>
      </c>
      <c r="D8" s="59">
        <v>119</v>
      </c>
      <c r="E8" s="59">
        <v>119</v>
      </c>
      <c r="F8" s="59">
        <v>119</v>
      </c>
      <c r="G8" s="34"/>
      <c r="J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spans="1:27" x14ac:dyDescent="0.2">
      <c r="A9" s="56" t="s">
        <v>220</v>
      </c>
      <c r="B9" s="58">
        <v>279</v>
      </c>
      <c r="C9" s="59"/>
      <c r="D9" s="59">
        <v>119</v>
      </c>
      <c r="E9" s="59">
        <v>119</v>
      </c>
      <c r="F9" s="59">
        <v>119</v>
      </c>
      <c r="G9" s="34"/>
      <c r="J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27" x14ac:dyDescent="0.2">
      <c r="A10" s="56" t="s">
        <v>223</v>
      </c>
      <c r="B10" s="59">
        <v>249</v>
      </c>
      <c r="C10" s="59"/>
      <c r="D10" s="59">
        <v>119</v>
      </c>
      <c r="E10" s="59">
        <v>119</v>
      </c>
      <c r="F10" s="59">
        <v>119</v>
      </c>
      <c r="G10" s="34"/>
      <c r="J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spans="1:27" x14ac:dyDescent="0.2">
      <c r="A11" s="56" t="s">
        <v>226</v>
      </c>
      <c r="B11" s="59">
        <v>229</v>
      </c>
      <c r="C11" s="59"/>
      <c r="D11" s="59">
        <v>119</v>
      </c>
      <c r="E11" s="59">
        <v>119</v>
      </c>
      <c r="F11" s="59">
        <v>119</v>
      </c>
      <c r="G11" s="34"/>
      <c r="J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spans="1:27" x14ac:dyDescent="0.2">
      <c r="A12" s="56" t="s">
        <v>229</v>
      </c>
      <c r="B12" s="57">
        <v>349</v>
      </c>
      <c r="C12" s="58">
        <v>439</v>
      </c>
      <c r="D12" s="59">
        <v>119</v>
      </c>
      <c r="E12" s="59">
        <v>109</v>
      </c>
      <c r="F12" s="59">
        <v>119</v>
      </c>
      <c r="G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spans="1:27" x14ac:dyDescent="0.2">
      <c r="A13" s="56" t="s">
        <v>232</v>
      </c>
      <c r="B13" s="59">
        <v>299</v>
      </c>
      <c r="C13" s="59"/>
      <c r="D13" s="59">
        <v>119</v>
      </c>
      <c r="E13" s="59">
        <v>109</v>
      </c>
      <c r="F13" s="59">
        <v>119</v>
      </c>
      <c r="G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">
      <c r="A14" s="56" t="s">
        <v>235</v>
      </c>
      <c r="B14" s="59">
        <v>249</v>
      </c>
      <c r="C14" s="59"/>
      <c r="D14" s="59">
        <v>119</v>
      </c>
      <c r="E14" s="59">
        <v>109</v>
      </c>
      <c r="F14" s="59">
        <v>119</v>
      </c>
      <c r="G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spans="1:27" x14ac:dyDescent="0.2">
      <c r="A15" s="56" t="s">
        <v>238</v>
      </c>
      <c r="B15" s="59">
        <v>229</v>
      </c>
      <c r="C15" s="59"/>
      <c r="D15" s="59">
        <v>119</v>
      </c>
      <c r="E15" s="59">
        <v>109</v>
      </c>
      <c r="F15" s="59">
        <v>119</v>
      </c>
      <c r="G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spans="1:27" x14ac:dyDescent="0.2">
      <c r="A16" s="56" t="s">
        <v>240</v>
      </c>
      <c r="B16" s="57">
        <v>339</v>
      </c>
      <c r="C16" s="58">
        <v>389</v>
      </c>
      <c r="D16" s="59">
        <v>99</v>
      </c>
      <c r="E16" s="59">
        <v>99</v>
      </c>
      <c r="F16" s="59">
        <v>109</v>
      </c>
      <c r="G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spans="1:27" x14ac:dyDescent="0.2">
      <c r="A17" s="56" t="s">
        <v>242</v>
      </c>
      <c r="B17" s="59">
        <v>229</v>
      </c>
      <c r="C17" s="59"/>
      <c r="D17" s="59">
        <v>99</v>
      </c>
      <c r="E17" s="59">
        <v>99</v>
      </c>
      <c r="F17" s="59">
        <v>109</v>
      </c>
      <c r="G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27" x14ac:dyDescent="0.2">
      <c r="A18" s="56" t="s">
        <v>244</v>
      </c>
      <c r="B18" s="59">
        <v>199</v>
      </c>
      <c r="C18" s="59"/>
      <c r="D18" s="59">
        <v>99</v>
      </c>
      <c r="E18" s="59">
        <v>99</v>
      </c>
      <c r="F18" s="59">
        <v>109</v>
      </c>
      <c r="G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56" t="s">
        <v>246</v>
      </c>
      <c r="B19" s="59">
        <v>289</v>
      </c>
      <c r="C19" s="59">
        <v>339</v>
      </c>
      <c r="D19" s="59">
        <v>99</v>
      </c>
      <c r="E19" s="59">
        <v>89</v>
      </c>
      <c r="F19" s="59">
        <v>99</v>
      </c>
      <c r="G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spans="1:27" x14ac:dyDescent="0.2">
      <c r="A20" s="56" t="s">
        <v>248</v>
      </c>
      <c r="B20" s="59">
        <v>229</v>
      </c>
      <c r="C20" s="59"/>
      <c r="D20" s="59">
        <v>99</v>
      </c>
      <c r="E20" s="59">
        <v>89</v>
      </c>
      <c r="F20" s="59">
        <v>99</v>
      </c>
      <c r="G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spans="1:27" x14ac:dyDescent="0.2">
      <c r="A21" s="56" t="s">
        <v>250</v>
      </c>
      <c r="B21" s="59">
        <v>229</v>
      </c>
      <c r="C21" s="59"/>
      <c r="D21" s="59">
        <v>99</v>
      </c>
      <c r="E21" s="59">
        <v>89</v>
      </c>
      <c r="F21" s="59">
        <v>99</v>
      </c>
      <c r="G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spans="1:27" x14ac:dyDescent="0.2">
      <c r="A22" s="56" t="s">
        <v>252</v>
      </c>
      <c r="B22" s="59">
        <v>229</v>
      </c>
      <c r="C22" s="59"/>
      <c r="D22" s="59">
        <v>99</v>
      </c>
      <c r="E22" s="59">
        <v>89</v>
      </c>
      <c r="F22" s="59">
        <v>99</v>
      </c>
      <c r="G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">
      <c r="A23" s="56" t="s">
        <v>254</v>
      </c>
      <c r="B23" s="59">
        <v>269</v>
      </c>
      <c r="C23" s="59">
        <v>339</v>
      </c>
      <c r="D23" s="59">
        <v>89</v>
      </c>
      <c r="E23" s="59">
        <v>79</v>
      </c>
      <c r="F23" s="59">
        <v>89</v>
      </c>
      <c r="G23" s="34"/>
      <c r="H23" s="60"/>
      <c r="I23" s="60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1:27" x14ac:dyDescent="0.2">
      <c r="A24" s="56" t="s">
        <v>256</v>
      </c>
      <c r="B24" s="59">
        <v>229</v>
      </c>
      <c r="C24" s="59"/>
      <c r="D24" s="59">
        <v>89</v>
      </c>
      <c r="E24" s="59">
        <v>79</v>
      </c>
      <c r="F24" s="59">
        <v>89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1:27" x14ac:dyDescent="0.2">
      <c r="A25" s="56" t="s">
        <v>258</v>
      </c>
      <c r="B25" s="59">
        <v>229</v>
      </c>
      <c r="C25" s="59"/>
      <c r="D25" s="59">
        <v>89</v>
      </c>
      <c r="E25" s="59">
        <v>79</v>
      </c>
      <c r="F25" s="59">
        <v>89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1:27" x14ac:dyDescent="0.2">
      <c r="A26" s="55" t="s">
        <v>204</v>
      </c>
      <c r="B26" s="55" t="s">
        <v>205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1:27" x14ac:dyDescent="0.2">
      <c r="A27" s="56" t="s">
        <v>209</v>
      </c>
      <c r="B27" s="59">
        <v>249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1:27" x14ac:dyDescent="0.2">
      <c r="A28" s="56" t="s">
        <v>212</v>
      </c>
      <c r="B28" s="59">
        <v>229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spans="1:27" x14ac:dyDescent="0.2">
      <c r="A29" s="56" t="s">
        <v>215</v>
      </c>
      <c r="B29" s="59">
        <v>209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1:27" x14ac:dyDescent="0.2">
      <c r="A30" s="56" t="s">
        <v>218</v>
      </c>
      <c r="B30" s="59">
        <v>179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1:27" x14ac:dyDescent="0.2">
      <c r="A31" s="56" t="s">
        <v>221</v>
      </c>
      <c r="B31" s="59">
        <v>229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x14ac:dyDescent="0.2">
      <c r="A32" s="56" t="s">
        <v>224</v>
      </c>
      <c r="B32" s="59">
        <v>209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1:27" x14ac:dyDescent="0.2">
      <c r="A33" s="56" t="s">
        <v>227</v>
      </c>
      <c r="B33" s="59">
        <v>179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1:27" x14ac:dyDescent="0.2">
      <c r="A34" s="56" t="s">
        <v>230</v>
      </c>
      <c r="B34" s="59">
        <v>179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1:27" x14ac:dyDescent="0.2">
      <c r="A35" s="56" t="s">
        <v>233</v>
      </c>
      <c r="B35" s="59">
        <v>229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7" x14ac:dyDescent="0.2">
      <c r="A36" s="56" t="s">
        <v>236</v>
      </c>
      <c r="B36" s="59">
        <v>199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1:27" x14ac:dyDescent="0.2">
      <c r="A37" s="56" t="s">
        <v>239</v>
      </c>
      <c r="B37" s="59">
        <v>179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1:27" x14ac:dyDescent="0.2">
      <c r="A38" s="56" t="s">
        <v>241</v>
      </c>
      <c r="B38" s="59">
        <v>169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1:27" x14ac:dyDescent="0.2">
      <c r="A39" s="56" t="s">
        <v>243</v>
      </c>
      <c r="B39" s="59">
        <v>179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1:27" x14ac:dyDescent="0.2">
      <c r="A40" s="56" t="s">
        <v>245</v>
      </c>
      <c r="B40" s="59">
        <v>179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1:27" x14ac:dyDescent="0.2">
      <c r="A41" s="56" t="s">
        <v>247</v>
      </c>
      <c r="B41" s="59">
        <v>179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spans="1:27" x14ac:dyDescent="0.2">
      <c r="A42" s="56" t="s">
        <v>249</v>
      </c>
      <c r="B42" s="59">
        <v>149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spans="1:27" x14ac:dyDescent="0.2">
      <c r="A43" s="56" t="s">
        <v>251</v>
      </c>
      <c r="B43" s="59">
        <v>149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spans="1:27" x14ac:dyDescent="0.2">
      <c r="A44" s="56" t="s">
        <v>253</v>
      </c>
      <c r="B44" s="59">
        <v>139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spans="1:27" x14ac:dyDescent="0.2">
      <c r="A45" s="56" t="s">
        <v>255</v>
      </c>
      <c r="B45" s="59">
        <v>139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spans="1:27" x14ac:dyDescent="0.2">
      <c r="A46" s="56" t="s">
        <v>257</v>
      </c>
      <c r="B46" s="59">
        <v>139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spans="1:27" x14ac:dyDescent="0.2">
      <c r="A47" s="56" t="s">
        <v>259</v>
      </c>
      <c r="B47" s="59">
        <v>139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spans="1:27" x14ac:dyDescent="0.2">
      <c r="A48" s="55" t="s">
        <v>206</v>
      </c>
      <c r="B48" s="55" t="s">
        <v>200</v>
      </c>
      <c r="C48" s="55" t="s">
        <v>201</v>
      </c>
      <c r="D48" s="55" t="s">
        <v>207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spans="1:27" x14ac:dyDescent="0.2">
      <c r="A49" s="56" t="s">
        <v>210</v>
      </c>
      <c r="B49" s="59"/>
      <c r="C49" s="59">
        <v>989</v>
      </c>
      <c r="D49" s="59">
        <v>229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spans="1:27" x14ac:dyDescent="0.2">
      <c r="A50" s="56" t="s">
        <v>213</v>
      </c>
      <c r="B50" s="59">
        <v>389</v>
      </c>
      <c r="C50" s="59">
        <v>499</v>
      </c>
      <c r="D50" s="59">
        <v>199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spans="1:27" x14ac:dyDescent="0.2">
      <c r="A51" s="56" t="s">
        <v>216</v>
      </c>
      <c r="B51" s="59"/>
      <c r="C51" s="59">
        <v>899</v>
      </c>
      <c r="D51" s="59">
        <v>229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spans="1:27" x14ac:dyDescent="0.2">
      <c r="A52" s="56" t="s">
        <v>219</v>
      </c>
      <c r="B52" s="59">
        <v>399</v>
      </c>
      <c r="C52" s="59">
        <v>499</v>
      </c>
      <c r="D52" s="59">
        <v>179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spans="1:27" x14ac:dyDescent="0.2">
      <c r="A53" s="56" t="s">
        <v>222</v>
      </c>
      <c r="B53" s="59"/>
      <c r="C53" s="59">
        <v>849</v>
      </c>
      <c r="D53" s="59">
        <v>199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spans="1:27" x14ac:dyDescent="0.2">
      <c r="A54" s="56" t="s">
        <v>225</v>
      </c>
      <c r="B54" s="59">
        <v>449</v>
      </c>
      <c r="C54" s="59">
        <v>499</v>
      </c>
      <c r="D54" s="59">
        <v>179</v>
      </c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1:27" x14ac:dyDescent="0.2">
      <c r="A55" s="56" t="s">
        <v>228</v>
      </c>
      <c r="B55" s="59"/>
      <c r="C55" s="59">
        <v>899</v>
      </c>
      <c r="D55" s="59">
        <v>149</v>
      </c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spans="1:27" x14ac:dyDescent="0.2">
      <c r="A56" s="56" t="s">
        <v>231</v>
      </c>
      <c r="B56" s="59"/>
      <c r="C56" s="59">
        <v>499</v>
      </c>
      <c r="D56" s="59">
        <v>149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spans="1:27" x14ac:dyDescent="0.2">
      <c r="A57" s="56" t="s">
        <v>234</v>
      </c>
      <c r="B57" s="59"/>
      <c r="C57" s="59">
        <v>799</v>
      </c>
      <c r="D57" s="59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spans="1:27" x14ac:dyDescent="0.2">
      <c r="A58" s="56" t="s">
        <v>237</v>
      </c>
      <c r="B58" s="59"/>
      <c r="C58" s="59">
        <v>499</v>
      </c>
      <c r="D58" s="59">
        <v>139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spans="1:27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spans="1:27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spans="1:27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spans="1:27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spans="1:27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spans="1:27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spans="1:27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spans="1:27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spans="1:27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spans="1:27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spans="1:27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spans="1:27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spans="1:27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spans="1:27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spans="1:27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spans="1:27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spans="1:27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spans="1:27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spans="1:27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spans="1:27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spans="1:27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spans="1:27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spans="1:27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spans="1:27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spans="1:27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spans="1:27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spans="1:27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spans="1:27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spans="1:27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spans="1:27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spans="1:27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spans="1:27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spans="1:27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spans="1:27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spans="1:27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spans="1:27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spans="1:27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spans="1:27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spans="1:27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spans="1:27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spans="1:27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spans="1:27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spans="1:27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spans="1:27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spans="1:27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spans="1:27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spans="1:27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spans="1:27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spans="1:27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spans="1:27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spans="1:27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spans="1:27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spans="1:27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spans="1:27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spans="1:27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spans="1:27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spans="1:27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spans="1:27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spans="1:27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spans="1:27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spans="1:27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spans="1:27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spans="1:27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 spans="1:27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 spans="1:27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 spans="1:27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 spans="1:27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 spans="1:27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 spans="1:27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 spans="1:27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 spans="1:27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 spans="1:27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 spans="1:27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 spans="1:27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 spans="1:27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 spans="1:27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 spans="1:27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 spans="1:27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 spans="1:27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 spans="1:27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 spans="1:27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 spans="1:27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 spans="1:27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 spans="1:27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 spans="1:27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 spans="1:27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 spans="1:27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 spans="1:27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 spans="1:27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 spans="1:27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:27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 spans="1:27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 spans="1:27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 spans="1:27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 spans="1:27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 spans="1:27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 spans="1:27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 spans="1:27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 spans="1:27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 spans="1:27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 spans="1:27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 spans="1:27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 spans="1:27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 spans="1:27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 spans="1:27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 spans="1:27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 spans="1:27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 spans="1:27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 spans="1:27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 spans="1:27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 spans="1:27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 spans="1:27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 spans="1:27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 spans="1:27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 spans="1:27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 spans="1:27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 spans="1:27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 spans="1:27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spans="1:27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spans="1:27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spans="1:27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spans="1:27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spans="1:27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spans="1:27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spans="1:27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spans="1:27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spans="1:27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spans="1:27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spans="1:27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spans="1:27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spans="1:27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spans="1:27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spans="1:27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spans="1:27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spans="1:27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spans="1:27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spans="1:27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spans="1:27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spans="1:27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spans="1:27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spans="1:27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spans="1:27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spans="1:27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spans="1:27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spans="1:27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spans="1:27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spans="1:27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spans="1:27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spans="1:27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spans="1:27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spans="1:27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spans="1:27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spans="1:27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spans="1:27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spans="1:27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spans="1:27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spans="1:27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 spans="1:27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 spans="1:27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 spans="1:27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 spans="1:27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 spans="1:27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 spans="1:27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 spans="1:27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 spans="1:27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 spans="1:27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 spans="1:27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 spans="1:27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 spans="1:27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 spans="1:27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 spans="1:27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 spans="1:27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 spans="1:27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 spans="1:27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 spans="1:27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 spans="1:27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 spans="1:27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 spans="1:27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 spans="1:27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 spans="1:27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 spans="1:27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 spans="1:27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 spans="1:27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 spans="1:27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 spans="1:27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 spans="1:27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 spans="1:27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 spans="1:27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 spans="1:27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 spans="1:27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 spans="1:27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 spans="1:27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 spans="1:27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 spans="1:27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 spans="1:27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 spans="1:27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 spans="1:27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 spans="1:27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 spans="1:27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 spans="1:27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 spans="1:27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 spans="1:27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 spans="1:27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 spans="1:27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 spans="1:27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 spans="1:27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 spans="1:27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 spans="1:27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 spans="1:27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 spans="1:27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 spans="1:27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 spans="1:27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 spans="1:27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 spans="1:27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 spans="1:27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 spans="1:27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 spans="1:27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 spans="1:27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 spans="1:27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 spans="1:27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 spans="1:27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 spans="1:27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 spans="1:27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 spans="1:27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 spans="1:27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 spans="1:27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 spans="1:27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 spans="1:27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 spans="1:27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 spans="1:27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 spans="1:27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 spans="1:27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 spans="1:27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 spans="1:27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 spans="1:27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 spans="1:27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 spans="1:27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 spans="1:27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 spans="1:27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 spans="1:27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 spans="1:27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 spans="1:27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 spans="1:27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 spans="1:27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 spans="1:27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 spans="1:27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 spans="1:27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 spans="1:27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 spans="1:27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 spans="1:27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 spans="1:27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 spans="1:27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 spans="1:27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 spans="1:27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 spans="1:27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 spans="1:27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 spans="1:27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 spans="1:27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 spans="1:27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 spans="1:27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 spans="1:27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 spans="1:27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 spans="1:27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 spans="1:27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 spans="1:27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 spans="1:27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 spans="1:27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 spans="1:27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 spans="1:27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 spans="1:27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 spans="1:27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 spans="1:27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 spans="1:27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 spans="1:27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 spans="1:27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 spans="1:27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 spans="1:27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 spans="1:27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 spans="1:27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 spans="1:27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 spans="1:27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 spans="1:27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 spans="1:27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 spans="1:27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 spans="1:27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 spans="1:27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 spans="1:27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 spans="1:27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 spans="1:27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 spans="1:27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 spans="1:27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 spans="1:27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 spans="1:27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 spans="1:27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 spans="1:27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 spans="1:27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 spans="1:27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 spans="1:27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 spans="1:27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 spans="1:27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 spans="1:27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 spans="1:27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 spans="1:27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 spans="1:27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 spans="1:27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 spans="1:27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 spans="1:27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 spans="1:27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 spans="1:27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 spans="1:27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 spans="1:27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 spans="1:27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 spans="1:27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 spans="1:27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 spans="1:27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 spans="1:27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 spans="1:27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 spans="1:27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 spans="1:27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 spans="1:27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 spans="1:27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 spans="1:27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 spans="1:27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 spans="1:27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 spans="1:27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 spans="1:27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 spans="1:27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 spans="1:27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 spans="1:27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 spans="1:27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 spans="1:27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 spans="1:27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 spans="1:27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 spans="1:27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 spans="1:27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 spans="1:27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 spans="1:27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 spans="1:27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 spans="1:27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 spans="1:27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 spans="1:27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 spans="1:27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 spans="1:27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 spans="1:27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 spans="1:27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 spans="1:27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 spans="1:27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 spans="1:27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 spans="1:27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 spans="1:27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 spans="1:27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 spans="1:27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 spans="1:27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 spans="1:27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 spans="1:27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 spans="1:27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 spans="1:27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 spans="1:27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 spans="1:27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 spans="1:27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 spans="1:27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 spans="1:27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 spans="1:27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 spans="1:27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 spans="1:27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 spans="1:27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 spans="1:27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 spans="1:27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 spans="1:27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 spans="1:27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 spans="1:27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 spans="1:27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 spans="1:27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 spans="1:27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 spans="1:27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 spans="1:27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 spans="1:27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 spans="1:27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 spans="1:27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 spans="1:27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 spans="1:27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 spans="1:27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 spans="1:27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 spans="1:27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 spans="1:27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 spans="1:27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 spans="1:27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 spans="1:27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 spans="1:27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 spans="1:27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 spans="1:27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 spans="1:27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 spans="1:27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 spans="1:27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 spans="1:27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 spans="1:27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 spans="1:27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 spans="1:27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 spans="1:27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 spans="1:27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 spans="1:27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 spans="1:27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 spans="1:27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 spans="1:27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 spans="1:27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 spans="1:27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 spans="1:27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 spans="1:27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 spans="1:27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 spans="1:27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 spans="1:27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 spans="1:27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 spans="1:27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 spans="1:27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 spans="1:27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 spans="1:27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 spans="1:27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 spans="1:27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 spans="1:27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 spans="1:27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 spans="1:27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 spans="1:27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 spans="1:27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 spans="1:27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 spans="1:27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 spans="1:27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 spans="1:27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 spans="1:27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 spans="1:27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 spans="1:27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 spans="1:27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 spans="1:27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 spans="1:27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 spans="1:27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 spans="1:27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 spans="1:27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 spans="1:27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 spans="1:27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 spans="1:27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 spans="1:27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 spans="1:27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 spans="1:27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 spans="1:27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 spans="1:27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 spans="1:27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 spans="1:27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 spans="1:27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 spans="1:27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 spans="1:27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 spans="1:27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 spans="1:27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 spans="1:27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 spans="1:27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 spans="1:27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 spans="1:27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 spans="1:27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 spans="1:27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 spans="1:27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 spans="1:27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 spans="1:27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 spans="1:27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 spans="1:27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 spans="1:27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 spans="1:27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 spans="1:27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 spans="1:27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 spans="1:27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 spans="1:27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 spans="1:27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 spans="1:27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 spans="1:27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 spans="1:27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 spans="1:27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 spans="1:27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 spans="1:27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 spans="1:27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 spans="1:27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 spans="1:27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 spans="1:27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 spans="1:27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 spans="1:27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 spans="1:27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 spans="1:27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 spans="1:27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 spans="1:27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 spans="1:27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 spans="1:27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 spans="1:27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 spans="1:27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 spans="1:27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 spans="1:27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 spans="1:27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 spans="1:27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 spans="1:27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 spans="1:27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 spans="1:27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 spans="1:27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 spans="1:27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 spans="1:27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 spans="1:27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 spans="1:27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 spans="1:27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 spans="1:27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 spans="1:27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 spans="1:27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 spans="1:27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 spans="1:27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 spans="1:27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 spans="1:27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 spans="1:27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 spans="1:27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 spans="1:27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 spans="1:27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 spans="1:27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 spans="1:27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 spans="1:27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 spans="1:27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 spans="1:27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 spans="1:27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 spans="1:27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 spans="1:27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 spans="1:27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 spans="1:27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 spans="1:27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 spans="1:27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 spans="1:27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 spans="1:27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 spans="1:27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 spans="1:27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 spans="1:27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 spans="1:27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 spans="1:27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 spans="1:27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 spans="1:27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 spans="1:27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 spans="1:27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 spans="1:27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 spans="1:27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 spans="1:27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 spans="1:27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 spans="1:27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 spans="1:27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 spans="1:27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 spans="1:27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 spans="1:27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 spans="1:27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 spans="1:27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 spans="1:27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 spans="1:27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 spans="1:27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 spans="1:27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 spans="1:27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 spans="1:27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 spans="1:27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 spans="1:27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 spans="1:27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 spans="1:27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 spans="1:27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 spans="1:27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 spans="1:27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 spans="1:27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 spans="1:27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 spans="1:27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 spans="1:27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 spans="1:27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 spans="1:27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 spans="1:27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 spans="1:27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 spans="1:27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 spans="1:27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 spans="1:27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 spans="1:27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 spans="1:27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 spans="1:27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 spans="1:27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 spans="1:27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 spans="1:27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 spans="1:27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 spans="1:27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 spans="1:27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 spans="1:27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 spans="1:27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 spans="1:27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 spans="1:27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 spans="1:27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 spans="1:27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 spans="1:27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 spans="1:27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 spans="1:27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 spans="1:27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 spans="1:27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 spans="1:27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 spans="1:27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 spans="1:27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 spans="1:27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 spans="1:27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 spans="1:27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 spans="1:27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 spans="1:27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 spans="1:27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 spans="1:27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 spans="1:27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 spans="1:27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 spans="1:27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 spans="1:27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 spans="1:27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 spans="1:27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 spans="1:27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 spans="1:27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 spans="1:27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 spans="1:27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 spans="1:27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 spans="1:27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 spans="1:27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 spans="1:27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 spans="1:27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 spans="1:27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 spans="1:27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 spans="1:27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 spans="1:27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 spans="1:27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 spans="1:27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 spans="1:27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 spans="1:27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 spans="1:27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 spans="1:27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 spans="1:27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 spans="1:27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 spans="1:27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 spans="1:27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 spans="1:27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 spans="1:27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 spans="1:27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 spans="1:27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 spans="1:27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 spans="1:27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 spans="1:27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 spans="1:27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 spans="1:27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 spans="1:27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 spans="1:27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 spans="1:27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 spans="1:27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 spans="1:27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 spans="1:27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 spans="1:27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 spans="1:27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 spans="1:27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 spans="1:27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 spans="1:27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 spans="1:27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 spans="1:27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 spans="1:27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 spans="1:27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 spans="1:27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 spans="1:27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 spans="1:27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 spans="1:27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 spans="1:27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 spans="1:27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 spans="1:27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 spans="1:27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 spans="1:27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 spans="1:27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 spans="1:27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 spans="1:27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 spans="1:27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 spans="1:27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 spans="1:27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 spans="1:27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 spans="1:27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 spans="1:27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 spans="1:27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 spans="1:27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 spans="1:27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 spans="1:27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 spans="1:27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 spans="1:27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 spans="1:27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 spans="1:27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 spans="1:27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 spans="1:27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 spans="1:27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 spans="1:27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 spans="1:27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 spans="1:27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 spans="1:27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 spans="1:27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 spans="1:27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 spans="1:27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 spans="1:27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 spans="1:27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 spans="1:27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 spans="1:27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 spans="1:27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 spans="1:27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 spans="1:27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 spans="1:27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 spans="1:27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 spans="1:27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 spans="1:27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 spans="1:27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 spans="1:27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 spans="1:27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 spans="1:27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 spans="1:27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 spans="1:27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 spans="1:27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 spans="1:27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 spans="1:27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 spans="1:27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 spans="1:27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 spans="1:27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 spans="1:27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 spans="1:27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 spans="1:27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 spans="1:27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 spans="1:27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 spans="1:27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 spans="1:27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 spans="1:27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 spans="1:27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 spans="1:27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 spans="1:27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 spans="1:27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 spans="1:27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 spans="1:27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 spans="1:27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 spans="1:27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 spans="1:27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 spans="1:27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 spans="1:27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 spans="1:27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 spans="1:27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 spans="1:27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 spans="1:27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 spans="1:27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 spans="1:27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 spans="1:27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 spans="1:27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 spans="1:27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 spans="1:27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 spans="1:27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 spans="1:27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 spans="1:27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 spans="1:27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 spans="1:27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 spans="1:27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 spans="1:27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 spans="1:27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 spans="1:27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 spans="1:27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 spans="1:27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 spans="1:27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 spans="1:27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 spans="1:27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 spans="1:27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 spans="1:27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 spans="1:27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 spans="1:27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 spans="1:27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 spans="1:27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 spans="1:27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 spans="1:27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 spans="1:27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 spans="1:27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 spans="1:27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 spans="1:27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 spans="1:27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 spans="1:27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 spans="1:27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 spans="1:27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 spans="1:27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 spans="1:27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 spans="1:27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 spans="1:27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 spans="1:27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 spans="1:27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 spans="1:27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 spans="1:27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 spans="1:27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 spans="1:27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 spans="1:27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 spans="1:27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 spans="1:27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 spans="1:27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 spans="1:27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 spans="1:27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 spans="1:27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 spans="1:27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 spans="1:27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 spans="1:27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 spans="1:27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 spans="1:27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 spans="1:27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 spans="1:27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 spans="1:27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 spans="1:27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 spans="1:27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 spans="1:27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 spans="1:27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 spans="1:27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 spans="1:27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 spans="1:27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 spans="1:27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 spans="1:27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 spans="1:27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 spans="1:27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 spans="1:27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 spans="1:27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 spans="1:27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 spans="1:27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 spans="1:27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 spans="1:27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 spans="1:27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 spans="1:27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 spans="1:27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 spans="1:27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 spans="1:27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 spans="1:27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 spans="1:27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 spans="1:27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 spans="1:27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 spans="1:27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 spans="1:27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 spans="1:27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 spans="1:27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 spans="1:27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 spans="1:27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 spans="1:27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 spans="1:27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 spans="1:27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 spans="1:27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 spans="1:27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 spans="1:27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 spans="1:27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 spans="1:27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 spans="1:27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 spans="1:27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 spans="1:27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 spans="1:27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 spans="1:27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 spans="1:27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 spans="1:27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 spans="1:27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 spans="1:27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 spans="1:27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 spans="1:27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 spans="1:27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 spans="1:27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 spans="1:27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 spans="1:27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 spans="1:27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 spans="1:27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 spans="1:27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 spans="1:27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 spans="1:27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 spans="1:27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 spans="1:27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 spans="1:27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 spans="1:27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 spans="1:27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 spans="1:27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 spans="1:27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 spans="1:27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 spans="1:27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 spans="1:27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 spans="1:27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 spans="1:27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 spans="1:27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 spans="1:27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 spans="1:27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 spans="1:27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 spans="1:27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 spans="1:27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 spans="1:27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 spans="1:27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 spans="1:27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 spans="1:27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 spans="1:27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 spans="1:27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 spans="1:27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 spans="1:27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 spans="1:27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 spans="1:27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 spans="1:27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 spans="1:27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 spans="1:27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 spans="1:27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 spans="1:27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 spans="1:27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 spans="1:27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 spans="1:27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 spans="1:27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 spans="1:27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 spans="1:27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 spans="1:27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 spans="1:27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 spans="1:27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 spans="1:27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 spans="1:27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 spans="1:27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 spans="1:27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 spans="1:27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 spans="1:27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 spans="1:27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 spans="1:27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 spans="1:27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 spans="1:27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 spans="1:27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 spans="1:27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 spans="1:27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 spans="1:27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 spans="1:27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 spans="1:27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 spans="1:27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 spans="1:27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 spans="1:27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 spans="1:27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 spans="1:27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 spans="1:27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 spans="1:27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 spans="1:27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 spans="1:27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 spans="1:27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 spans="1:27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 spans="1:27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 spans="1:27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4"/>
  <sheetViews>
    <sheetView tabSelected="1" workbookViewId="0">
      <selection activeCell="C27" sqref="C27"/>
    </sheetView>
  </sheetViews>
  <sheetFormatPr defaultColWidth="12.5703125" defaultRowHeight="15.75" customHeight="1" x14ac:dyDescent="0.2"/>
  <cols>
    <col min="1" max="1" width="20.42578125" bestFit="1" customWidth="1"/>
    <col min="2" max="2" width="32.7109375" bestFit="1" customWidth="1"/>
    <col min="3" max="3" width="11.42578125" bestFit="1" customWidth="1"/>
  </cols>
  <sheetData>
    <row r="1" spans="1:25" x14ac:dyDescent="0.2">
      <c r="A1" s="61" t="s">
        <v>0</v>
      </c>
      <c r="B1" s="62" t="s">
        <v>9</v>
      </c>
      <c r="C1" s="62" t="s">
        <v>203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x14ac:dyDescent="0.2">
      <c r="A2" s="63" t="s">
        <v>260</v>
      </c>
      <c r="B2" s="59" t="s">
        <v>261</v>
      </c>
      <c r="C2" s="59">
        <v>249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spans="1:25" x14ac:dyDescent="0.2">
      <c r="A3" s="63" t="s">
        <v>262</v>
      </c>
      <c r="B3" s="59">
        <v>419</v>
      </c>
      <c r="C3" s="59">
        <v>179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1:25" x14ac:dyDescent="0.2">
      <c r="A4" s="63" t="s">
        <v>263</v>
      </c>
      <c r="B4" s="59">
        <v>389</v>
      </c>
      <c r="C4" s="59">
        <v>169</v>
      </c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 spans="1:25" x14ac:dyDescent="0.2">
      <c r="A5" s="63" t="s">
        <v>264</v>
      </c>
      <c r="B5" s="59">
        <v>309</v>
      </c>
      <c r="C5" s="59">
        <v>169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 spans="1:25" x14ac:dyDescent="0.2">
      <c r="A6" s="63" t="s">
        <v>265</v>
      </c>
      <c r="B6" s="59">
        <v>239</v>
      </c>
      <c r="C6" s="59">
        <v>139</v>
      </c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 spans="1:25" x14ac:dyDescent="0.2">
      <c r="A7" s="63" t="s">
        <v>266</v>
      </c>
      <c r="B7" s="59" t="s">
        <v>267</v>
      </c>
      <c r="C7" s="59">
        <v>249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 x14ac:dyDescent="0.2">
      <c r="A8" s="63" t="s">
        <v>268</v>
      </c>
      <c r="B8" s="59">
        <v>399</v>
      </c>
      <c r="C8" s="59">
        <v>179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 x14ac:dyDescent="0.2">
      <c r="A9" s="63" t="s">
        <v>269</v>
      </c>
      <c r="B9" s="59">
        <v>279</v>
      </c>
      <c r="C9" s="59">
        <v>169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x14ac:dyDescent="0.2">
      <c r="A10" s="63" t="s">
        <v>270</v>
      </c>
      <c r="B10" s="59">
        <v>279</v>
      </c>
      <c r="C10" s="59">
        <v>159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x14ac:dyDescent="0.2">
      <c r="A11" s="63" t="s">
        <v>271</v>
      </c>
      <c r="B11" s="59">
        <v>379</v>
      </c>
      <c r="C11" s="59">
        <v>139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x14ac:dyDescent="0.2">
      <c r="A12" s="63" t="s">
        <v>272</v>
      </c>
      <c r="B12" s="59">
        <v>279</v>
      </c>
      <c r="C12" s="59">
        <v>129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x14ac:dyDescent="0.2">
      <c r="A13" s="63" t="s">
        <v>273</v>
      </c>
      <c r="B13" s="59">
        <v>199</v>
      </c>
      <c r="C13" s="59">
        <v>119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 x14ac:dyDescent="0.2">
      <c r="A14" s="63" t="s">
        <v>274</v>
      </c>
      <c r="B14" s="59">
        <v>339</v>
      </c>
      <c r="C14" s="59">
        <v>129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x14ac:dyDescent="0.2">
      <c r="A15" s="63" t="s">
        <v>275</v>
      </c>
      <c r="B15" s="59">
        <v>229</v>
      </c>
      <c r="C15" s="59">
        <v>119</v>
      </c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5" x14ac:dyDescent="0.2">
      <c r="A16" s="63" t="s">
        <v>276</v>
      </c>
      <c r="B16" s="59">
        <v>199</v>
      </c>
      <c r="C16" s="59">
        <v>109</v>
      </c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 x14ac:dyDescent="0.2">
      <c r="A17" s="63" t="s">
        <v>277</v>
      </c>
      <c r="B17" s="59">
        <v>349</v>
      </c>
      <c r="C17" s="59">
        <v>129</v>
      </c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x14ac:dyDescent="0.2">
      <c r="A18" s="63" t="s">
        <v>278</v>
      </c>
      <c r="B18" s="59">
        <v>209</v>
      </c>
      <c r="C18" s="59">
        <v>119</v>
      </c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63" t="s">
        <v>279</v>
      </c>
      <c r="B19" s="59">
        <v>199</v>
      </c>
      <c r="C19" s="59">
        <v>99</v>
      </c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x14ac:dyDescent="0.2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x14ac:dyDescent="0.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x14ac:dyDescent="0.2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x14ac:dyDescent="0.2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1:25" x14ac:dyDescent="0.2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x14ac:dyDescent="0.2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x14ac:dyDescent="0.2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 x14ac:dyDescent="0.2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x14ac:dyDescent="0.2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x14ac:dyDescent="0.2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x14ac:dyDescent="0.2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 x14ac:dyDescent="0.2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x14ac:dyDescent="0.2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1:25" x14ac:dyDescent="0.2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1:25" x14ac:dyDescent="0.2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1:25" x14ac:dyDescent="0.2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1:25" x14ac:dyDescent="0.2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 x14ac:dyDescent="0.2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1:25" x14ac:dyDescent="0.2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 x14ac:dyDescent="0.2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 x14ac:dyDescent="0.2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 x14ac:dyDescent="0.2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1:25" x14ac:dyDescent="0.2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x14ac:dyDescent="0.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1:25" x14ac:dyDescent="0.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1:25" x14ac:dyDescent="0.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x14ac:dyDescent="0.2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1:25" x14ac:dyDescent="0.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5" x14ac:dyDescent="0.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x14ac:dyDescent="0.2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5" x14ac:dyDescent="0.2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x14ac:dyDescent="0.2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 x14ac:dyDescent="0.2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x14ac:dyDescent="0.2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 x14ac:dyDescent="0.2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x14ac:dyDescent="0.2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x14ac:dyDescent="0.2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 x14ac:dyDescent="0.2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 x14ac:dyDescent="0.2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 x14ac:dyDescent="0.2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1:25" x14ac:dyDescent="0.2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x14ac:dyDescent="0.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 x14ac:dyDescent="0.2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x14ac:dyDescent="0.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x14ac:dyDescent="0.2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 x14ac:dyDescent="0.2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x14ac:dyDescent="0.2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x14ac:dyDescent="0.2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 x14ac:dyDescent="0.2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x14ac:dyDescent="0.2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x14ac:dyDescent="0.2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x14ac:dyDescent="0.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1:25" x14ac:dyDescent="0.2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1:25" x14ac:dyDescent="0.2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 x14ac:dyDescent="0.2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 x14ac:dyDescent="0.2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 x14ac:dyDescent="0.2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 x14ac:dyDescent="0.2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 x14ac:dyDescent="0.2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x14ac:dyDescent="0.2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x14ac:dyDescent="0.2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 x14ac:dyDescent="0.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 x14ac:dyDescent="0.2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 x14ac:dyDescent="0.2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 x14ac:dyDescent="0.2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 x14ac:dyDescent="0.2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 x14ac:dyDescent="0.2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x14ac:dyDescent="0.2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 x14ac:dyDescent="0.2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 x14ac:dyDescent="0.2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 x14ac:dyDescent="0.2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 x14ac:dyDescent="0.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 x14ac:dyDescent="0.2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 x14ac:dyDescent="0.2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 x14ac:dyDescent="0.2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x14ac:dyDescent="0.2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 x14ac:dyDescent="0.2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 x14ac:dyDescent="0.2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 x14ac:dyDescent="0.2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x14ac:dyDescent="0.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 x14ac:dyDescent="0.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 x14ac:dyDescent="0.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 x14ac:dyDescent="0.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 x14ac:dyDescent="0.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 x14ac:dyDescent="0.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 x14ac:dyDescent="0.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 x14ac:dyDescent="0.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 x14ac:dyDescent="0.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x14ac:dyDescent="0.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 x14ac:dyDescent="0.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 x14ac:dyDescent="0.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 x14ac:dyDescent="0.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 x14ac:dyDescent="0.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 x14ac:dyDescent="0.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 x14ac:dyDescent="0.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 x14ac:dyDescent="0.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 x14ac:dyDescent="0.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 x14ac:dyDescent="0.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:25" x14ac:dyDescent="0.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x14ac:dyDescent="0.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 x14ac:dyDescent="0.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 x14ac:dyDescent="0.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 x14ac:dyDescent="0.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1:25" x14ac:dyDescent="0.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1:25" x14ac:dyDescent="0.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1:25" x14ac:dyDescent="0.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 x14ac:dyDescent="0.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 x14ac:dyDescent="0.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 x14ac:dyDescent="0.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x14ac:dyDescent="0.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1:25" x14ac:dyDescent="0.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 x14ac:dyDescent="0.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 x14ac:dyDescent="0.2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 x14ac:dyDescent="0.2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 x14ac:dyDescent="0.2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spans="1:25" x14ac:dyDescent="0.2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1:25" x14ac:dyDescent="0.2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 x14ac:dyDescent="0.2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1:25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1:25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1:25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 x14ac:dyDescent="0.2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 x14ac:dyDescent="0.2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 x14ac:dyDescent="0.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 x14ac:dyDescent="0.2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1:25" x14ac:dyDescent="0.2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 x14ac:dyDescent="0.2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x14ac:dyDescent="0.2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1:25" x14ac:dyDescent="0.2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1:25" x14ac:dyDescent="0.2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1:25" x14ac:dyDescent="0.2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1:25" x14ac:dyDescent="0.2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1:25" x14ac:dyDescent="0.2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1:25" x14ac:dyDescent="0.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1:25" x14ac:dyDescent="0.2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1:25" x14ac:dyDescent="0.2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 x14ac:dyDescent="0.2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 x14ac:dyDescent="0.2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1:25" x14ac:dyDescent="0.2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x14ac:dyDescent="0.2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1:25" x14ac:dyDescent="0.2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spans="1:25" x14ac:dyDescent="0.2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spans="1:25" x14ac:dyDescent="0.2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spans="1:25" x14ac:dyDescent="0.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spans="1:25" x14ac:dyDescent="0.2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spans="1:25" x14ac:dyDescent="0.2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spans="1:25" x14ac:dyDescent="0.2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spans="1:25" x14ac:dyDescent="0.2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x14ac:dyDescent="0.2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spans="1:25" x14ac:dyDescent="0.2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spans="1:25" x14ac:dyDescent="0.2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spans="1:25" x14ac:dyDescent="0.2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spans="1:25" x14ac:dyDescent="0.2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spans="1:25" x14ac:dyDescent="0.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spans="1:25" x14ac:dyDescent="0.2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spans="1:25" x14ac:dyDescent="0.2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spans="1:25" x14ac:dyDescent="0.2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spans="1:25" x14ac:dyDescent="0.2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x14ac:dyDescent="0.2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spans="1:25" x14ac:dyDescent="0.2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spans="1:25" x14ac:dyDescent="0.2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spans="1:25" x14ac:dyDescent="0.2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spans="1:25" x14ac:dyDescent="0.2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spans="1:25" x14ac:dyDescent="0.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spans="1:25" x14ac:dyDescent="0.2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spans="1:25" x14ac:dyDescent="0.2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spans="1:25" x14ac:dyDescent="0.2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spans="1:25" x14ac:dyDescent="0.2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x14ac:dyDescent="0.2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spans="1:25" x14ac:dyDescent="0.2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spans="1:25" x14ac:dyDescent="0.2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spans="1:25" x14ac:dyDescent="0.2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spans="1:25" x14ac:dyDescent="0.2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spans="1:25" x14ac:dyDescent="0.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spans="1:25" x14ac:dyDescent="0.2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spans="1:25" x14ac:dyDescent="0.2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spans="1:25" x14ac:dyDescent="0.2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spans="1:25" x14ac:dyDescent="0.2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spans="1:25" x14ac:dyDescent="0.2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spans="1:25" x14ac:dyDescent="0.2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spans="1:25" x14ac:dyDescent="0.2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x14ac:dyDescent="0.2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spans="1:25" x14ac:dyDescent="0.2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spans="1:25" x14ac:dyDescent="0.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spans="1:25" x14ac:dyDescent="0.2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spans="1:25" x14ac:dyDescent="0.2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spans="1:25" x14ac:dyDescent="0.2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spans="1:25" x14ac:dyDescent="0.2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spans="1:25" x14ac:dyDescent="0.2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x14ac:dyDescent="0.2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spans="1:25" x14ac:dyDescent="0.2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</row>
    <row r="240" spans="1:25" x14ac:dyDescent="0.2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</row>
    <row r="241" spans="1:25" x14ac:dyDescent="0.2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</row>
    <row r="242" spans="1:25" x14ac:dyDescent="0.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</row>
    <row r="243" spans="1:25" x14ac:dyDescent="0.2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</row>
    <row r="244" spans="1:25" x14ac:dyDescent="0.2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</row>
    <row r="245" spans="1:25" x14ac:dyDescent="0.2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</row>
    <row r="246" spans="1:25" x14ac:dyDescent="0.2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</row>
    <row r="247" spans="1:25" x14ac:dyDescent="0.2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</row>
    <row r="248" spans="1:25" x14ac:dyDescent="0.2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</row>
    <row r="249" spans="1:25" x14ac:dyDescent="0.2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</row>
    <row r="250" spans="1:25" x14ac:dyDescent="0.2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</row>
    <row r="251" spans="1:25" x14ac:dyDescent="0.2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</row>
    <row r="252" spans="1:25" x14ac:dyDescent="0.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</row>
    <row r="253" spans="1:25" x14ac:dyDescent="0.2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</row>
    <row r="254" spans="1:25" x14ac:dyDescent="0.2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</row>
    <row r="255" spans="1:25" x14ac:dyDescent="0.2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</row>
    <row r="256" spans="1:25" x14ac:dyDescent="0.2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</row>
    <row r="257" spans="1:25" x14ac:dyDescent="0.2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</row>
    <row r="258" spans="1:25" x14ac:dyDescent="0.2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</row>
    <row r="259" spans="1:25" x14ac:dyDescent="0.2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</row>
    <row r="260" spans="1:25" x14ac:dyDescent="0.2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</row>
    <row r="261" spans="1:25" x14ac:dyDescent="0.2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</row>
    <row r="262" spans="1:25" x14ac:dyDescent="0.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</row>
    <row r="263" spans="1:25" x14ac:dyDescent="0.2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</row>
    <row r="264" spans="1:25" x14ac:dyDescent="0.2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</row>
    <row r="265" spans="1:25" x14ac:dyDescent="0.2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</row>
    <row r="266" spans="1:25" x14ac:dyDescent="0.2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</row>
    <row r="267" spans="1:25" x14ac:dyDescent="0.2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</row>
    <row r="268" spans="1:25" x14ac:dyDescent="0.2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</row>
    <row r="269" spans="1:25" x14ac:dyDescent="0.2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</row>
    <row r="270" spans="1:25" x14ac:dyDescent="0.2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</row>
    <row r="271" spans="1:25" x14ac:dyDescent="0.2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</row>
    <row r="272" spans="1:25" x14ac:dyDescent="0.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</row>
    <row r="273" spans="1:25" x14ac:dyDescent="0.2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</row>
    <row r="274" spans="1:25" x14ac:dyDescent="0.2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</row>
    <row r="275" spans="1:25" x14ac:dyDescent="0.2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</row>
    <row r="276" spans="1:25" x14ac:dyDescent="0.2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</row>
    <row r="277" spans="1:25" x14ac:dyDescent="0.2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</row>
    <row r="278" spans="1:25" x14ac:dyDescent="0.2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</row>
    <row r="279" spans="1:25" x14ac:dyDescent="0.2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</row>
    <row r="280" spans="1:25" x14ac:dyDescent="0.2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</row>
    <row r="281" spans="1:25" x14ac:dyDescent="0.2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</row>
    <row r="282" spans="1:25" x14ac:dyDescent="0.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</row>
    <row r="283" spans="1:25" x14ac:dyDescent="0.2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</row>
    <row r="284" spans="1:25" x14ac:dyDescent="0.2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</row>
    <row r="285" spans="1:25" x14ac:dyDescent="0.2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</row>
    <row r="286" spans="1:25" x14ac:dyDescent="0.2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</row>
    <row r="287" spans="1:25" x14ac:dyDescent="0.2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</row>
    <row r="288" spans="1:25" x14ac:dyDescent="0.2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</row>
    <row r="289" spans="1:25" x14ac:dyDescent="0.2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</row>
    <row r="290" spans="1:25" x14ac:dyDescent="0.2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</row>
    <row r="291" spans="1:25" x14ac:dyDescent="0.2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</row>
    <row r="292" spans="1:25" x14ac:dyDescent="0.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</row>
    <row r="293" spans="1:25" x14ac:dyDescent="0.2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</row>
    <row r="294" spans="1:25" x14ac:dyDescent="0.2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</row>
    <row r="295" spans="1:25" x14ac:dyDescent="0.2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</row>
    <row r="296" spans="1:25" x14ac:dyDescent="0.2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</row>
    <row r="297" spans="1:25" x14ac:dyDescent="0.2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</row>
    <row r="298" spans="1:25" x14ac:dyDescent="0.2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</row>
    <row r="299" spans="1:25" x14ac:dyDescent="0.2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</row>
    <row r="300" spans="1:25" x14ac:dyDescent="0.2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</row>
    <row r="301" spans="1:25" x14ac:dyDescent="0.2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</row>
    <row r="302" spans="1:25" x14ac:dyDescent="0.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</row>
    <row r="303" spans="1:25" x14ac:dyDescent="0.2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</row>
    <row r="304" spans="1:25" x14ac:dyDescent="0.2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</row>
    <row r="305" spans="1:25" x14ac:dyDescent="0.2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</row>
    <row r="306" spans="1:25" x14ac:dyDescent="0.2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</row>
    <row r="307" spans="1:25" x14ac:dyDescent="0.2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</row>
    <row r="308" spans="1:25" x14ac:dyDescent="0.2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</row>
    <row r="309" spans="1:25" x14ac:dyDescent="0.2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</row>
    <row r="310" spans="1:25" x14ac:dyDescent="0.2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</row>
    <row r="311" spans="1:25" x14ac:dyDescent="0.2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</row>
    <row r="312" spans="1:25" x14ac:dyDescent="0.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</row>
    <row r="313" spans="1:25" x14ac:dyDescent="0.2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</row>
    <row r="314" spans="1:25" x14ac:dyDescent="0.2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</row>
    <row r="315" spans="1:25" x14ac:dyDescent="0.2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</row>
    <row r="316" spans="1:25" x14ac:dyDescent="0.2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</row>
    <row r="317" spans="1:25" x14ac:dyDescent="0.2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</row>
    <row r="318" spans="1:25" x14ac:dyDescent="0.2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</row>
    <row r="319" spans="1:25" x14ac:dyDescent="0.2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</row>
    <row r="320" spans="1:25" x14ac:dyDescent="0.2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</row>
    <row r="321" spans="1:25" x14ac:dyDescent="0.2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</row>
    <row r="322" spans="1:25" x14ac:dyDescent="0.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</row>
    <row r="323" spans="1:25" x14ac:dyDescent="0.2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</row>
    <row r="324" spans="1:25" x14ac:dyDescent="0.2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</row>
    <row r="325" spans="1:25" x14ac:dyDescent="0.2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</row>
    <row r="326" spans="1:25" x14ac:dyDescent="0.2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</row>
    <row r="327" spans="1:25" x14ac:dyDescent="0.2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</row>
    <row r="328" spans="1:25" x14ac:dyDescent="0.2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</row>
    <row r="329" spans="1:25" x14ac:dyDescent="0.2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</row>
    <row r="330" spans="1:25" x14ac:dyDescent="0.2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</row>
    <row r="331" spans="1:25" x14ac:dyDescent="0.2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</row>
    <row r="332" spans="1:25" x14ac:dyDescent="0.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</row>
    <row r="333" spans="1:25" x14ac:dyDescent="0.2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</row>
    <row r="334" spans="1:25" x14ac:dyDescent="0.2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</row>
    <row r="335" spans="1:25" x14ac:dyDescent="0.2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</row>
    <row r="336" spans="1:25" x14ac:dyDescent="0.2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</row>
    <row r="337" spans="1:25" x14ac:dyDescent="0.2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</row>
    <row r="338" spans="1:25" x14ac:dyDescent="0.2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</row>
    <row r="339" spans="1:25" x14ac:dyDescent="0.2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</row>
    <row r="340" spans="1:25" x14ac:dyDescent="0.2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</row>
    <row r="341" spans="1:25" x14ac:dyDescent="0.2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</row>
    <row r="342" spans="1:25" x14ac:dyDescent="0.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</row>
    <row r="343" spans="1:25" x14ac:dyDescent="0.2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</row>
    <row r="344" spans="1:25" x14ac:dyDescent="0.2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</row>
    <row r="345" spans="1:25" x14ac:dyDescent="0.2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</row>
    <row r="346" spans="1:25" x14ac:dyDescent="0.2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</row>
    <row r="347" spans="1:25" x14ac:dyDescent="0.2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</row>
    <row r="348" spans="1:25" x14ac:dyDescent="0.2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</row>
    <row r="349" spans="1:25" x14ac:dyDescent="0.2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</row>
    <row r="350" spans="1:25" x14ac:dyDescent="0.2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</row>
    <row r="351" spans="1:25" x14ac:dyDescent="0.2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</row>
    <row r="352" spans="1:25" x14ac:dyDescent="0.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</row>
    <row r="353" spans="1:25" x14ac:dyDescent="0.2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</row>
    <row r="354" spans="1:25" x14ac:dyDescent="0.2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</row>
    <row r="355" spans="1:25" x14ac:dyDescent="0.2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</row>
    <row r="356" spans="1:25" x14ac:dyDescent="0.2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</row>
    <row r="357" spans="1:25" x14ac:dyDescent="0.2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</row>
    <row r="358" spans="1:25" x14ac:dyDescent="0.2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</row>
    <row r="359" spans="1:25" x14ac:dyDescent="0.2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</row>
    <row r="360" spans="1:25" x14ac:dyDescent="0.2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</row>
    <row r="361" spans="1:25" x14ac:dyDescent="0.2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</row>
    <row r="362" spans="1:25" x14ac:dyDescent="0.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</row>
    <row r="363" spans="1:25" x14ac:dyDescent="0.2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</row>
    <row r="364" spans="1:25" x14ac:dyDescent="0.2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</row>
    <row r="365" spans="1:25" x14ac:dyDescent="0.2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</row>
    <row r="366" spans="1:25" x14ac:dyDescent="0.2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</row>
    <row r="367" spans="1:25" x14ac:dyDescent="0.2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</row>
    <row r="368" spans="1:25" x14ac:dyDescent="0.2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</row>
    <row r="369" spans="1:25" x14ac:dyDescent="0.2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</row>
    <row r="370" spans="1:25" x14ac:dyDescent="0.2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</row>
    <row r="371" spans="1:25" x14ac:dyDescent="0.2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</row>
    <row r="372" spans="1:25" x14ac:dyDescent="0.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</row>
    <row r="373" spans="1:25" x14ac:dyDescent="0.2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</row>
    <row r="374" spans="1:25" x14ac:dyDescent="0.2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</row>
    <row r="375" spans="1:25" x14ac:dyDescent="0.2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</row>
    <row r="376" spans="1:25" x14ac:dyDescent="0.2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</row>
    <row r="377" spans="1:25" x14ac:dyDescent="0.2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</row>
    <row r="378" spans="1:25" x14ac:dyDescent="0.2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</row>
    <row r="379" spans="1:25" x14ac:dyDescent="0.2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</row>
    <row r="380" spans="1:25" x14ac:dyDescent="0.2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</row>
    <row r="381" spans="1:25" x14ac:dyDescent="0.2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</row>
    <row r="382" spans="1:25" x14ac:dyDescent="0.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</row>
    <row r="383" spans="1:25" x14ac:dyDescent="0.2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</row>
    <row r="384" spans="1:25" x14ac:dyDescent="0.2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</row>
    <row r="385" spans="1:25" x14ac:dyDescent="0.2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</row>
    <row r="386" spans="1:25" x14ac:dyDescent="0.2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</row>
    <row r="387" spans="1:25" x14ac:dyDescent="0.2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</row>
    <row r="388" spans="1:25" x14ac:dyDescent="0.2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</row>
    <row r="389" spans="1:25" x14ac:dyDescent="0.2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</row>
    <row r="390" spans="1:25" x14ac:dyDescent="0.2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</row>
    <row r="391" spans="1:25" x14ac:dyDescent="0.2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</row>
    <row r="392" spans="1:25" x14ac:dyDescent="0.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</row>
    <row r="393" spans="1:25" x14ac:dyDescent="0.2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</row>
    <row r="394" spans="1:25" x14ac:dyDescent="0.2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</row>
    <row r="395" spans="1:25" x14ac:dyDescent="0.2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</row>
    <row r="396" spans="1:25" x14ac:dyDescent="0.2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</row>
    <row r="397" spans="1:25" x14ac:dyDescent="0.2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</row>
    <row r="398" spans="1:25" x14ac:dyDescent="0.2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</row>
    <row r="399" spans="1:25" x14ac:dyDescent="0.2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</row>
    <row r="400" spans="1:25" x14ac:dyDescent="0.2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</row>
    <row r="401" spans="1:25" x14ac:dyDescent="0.2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</row>
    <row r="402" spans="1:25" x14ac:dyDescent="0.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</row>
    <row r="403" spans="1:25" x14ac:dyDescent="0.2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</row>
    <row r="404" spans="1:25" x14ac:dyDescent="0.2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</row>
    <row r="405" spans="1:25" x14ac:dyDescent="0.2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</row>
    <row r="406" spans="1:25" x14ac:dyDescent="0.2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</row>
    <row r="407" spans="1:25" x14ac:dyDescent="0.2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</row>
    <row r="408" spans="1:25" x14ac:dyDescent="0.2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</row>
    <row r="409" spans="1:25" x14ac:dyDescent="0.2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</row>
    <row r="410" spans="1:25" x14ac:dyDescent="0.2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</row>
    <row r="411" spans="1:25" x14ac:dyDescent="0.2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</row>
    <row r="412" spans="1:25" x14ac:dyDescent="0.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</row>
    <row r="413" spans="1:25" x14ac:dyDescent="0.2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</row>
    <row r="414" spans="1:25" x14ac:dyDescent="0.2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</row>
    <row r="415" spans="1:25" x14ac:dyDescent="0.2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</row>
    <row r="416" spans="1:25" x14ac:dyDescent="0.2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</row>
    <row r="417" spans="1:25" x14ac:dyDescent="0.2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</row>
    <row r="418" spans="1:25" x14ac:dyDescent="0.2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</row>
    <row r="419" spans="1:25" x14ac:dyDescent="0.2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</row>
    <row r="420" spans="1:25" x14ac:dyDescent="0.2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</row>
    <row r="421" spans="1:25" x14ac:dyDescent="0.2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</row>
    <row r="422" spans="1:25" x14ac:dyDescent="0.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</row>
    <row r="423" spans="1:25" x14ac:dyDescent="0.2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</row>
    <row r="424" spans="1:25" x14ac:dyDescent="0.2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</row>
    <row r="425" spans="1:25" x14ac:dyDescent="0.2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</row>
    <row r="426" spans="1:25" x14ac:dyDescent="0.2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</row>
    <row r="427" spans="1:25" x14ac:dyDescent="0.2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</row>
    <row r="428" spans="1:25" x14ac:dyDescent="0.2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</row>
    <row r="429" spans="1:25" x14ac:dyDescent="0.2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</row>
    <row r="430" spans="1:25" x14ac:dyDescent="0.2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</row>
    <row r="431" spans="1:25" x14ac:dyDescent="0.2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</row>
    <row r="432" spans="1:25" x14ac:dyDescent="0.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</row>
    <row r="433" spans="1:25" x14ac:dyDescent="0.2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</row>
    <row r="434" spans="1:25" x14ac:dyDescent="0.2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</row>
    <row r="435" spans="1:25" x14ac:dyDescent="0.2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</row>
    <row r="436" spans="1:25" x14ac:dyDescent="0.2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</row>
    <row r="437" spans="1:25" x14ac:dyDescent="0.2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</row>
    <row r="438" spans="1:25" x14ac:dyDescent="0.2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</row>
    <row r="439" spans="1:25" x14ac:dyDescent="0.2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</row>
    <row r="440" spans="1:25" x14ac:dyDescent="0.2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</row>
    <row r="441" spans="1:25" x14ac:dyDescent="0.2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</row>
    <row r="442" spans="1:25" x14ac:dyDescent="0.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</row>
    <row r="443" spans="1:25" x14ac:dyDescent="0.2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</row>
    <row r="444" spans="1:25" x14ac:dyDescent="0.2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</row>
    <row r="445" spans="1:25" x14ac:dyDescent="0.2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</row>
    <row r="446" spans="1:25" x14ac:dyDescent="0.2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</row>
    <row r="447" spans="1:25" x14ac:dyDescent="0.2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</row>
    <row r="448" spans="1:25" x14ac:dyDescent="0.2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</row>
    <row r="449" spans="1:25" x14ac:dyDescent="0.2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</row>
    <row r="450" spans="1:25" x14ac:dyDescent="0.2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</row>
    <row r="451" spans="1:25" x14ac:dyDescent="0.2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</row>
    <row r="452" spans="1:25" x14ac:dyDescent="0.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</row>
    <row r="453" spans="1:25" x14ac:dyDescent="0.2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</row>
    <row r="454" spans="1:25" x14ac:dyDescent="0.2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</row>
    <row r="455" spans="1:25" x14ac:dyDescent="0.2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</row>
    <row r="456" spans="1:25" x14ac:dyDescent="0.2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</row>
    <row r="457" spans="1:25" x14ac:dyDescent="0.2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</row>
    <row r="458" spans="1:25" x14ac:dyDescent="0.2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</row>
    <row r="459" spans="1:25" x14ac:dyDescent="0.2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</row>
    <row r="460" spans="1:25" x14ac:dyDescent="0.2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</row>
    <row r="461" spans="1:25" x14ac:dyDescent="0.2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</row>
    <row r="462" spans="1:25" x14ac:dyDescent="0.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</row>
    <row r="463" spans="1:25" x14ac:dyDescent="0.2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</row>
    <row r="464" spans="1:25" x14ac:dyDescent="0.2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</row>
    <row r="465" spans="1:25" x14ac:dyDescent="0.2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</row>
    <row r="466" spans="1:25" x14ac:dyDescent="0.2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</row>
    <row r="467" spans="1:25" x14ac:dyDescent="0.2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</row>
    <row r="468" spans="1:25" x14ac:dyDescent="0.2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</row>
    <row r="469" spans="1:25" x14ac:dyDescent="0.2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</row>
    <row r="470" spans="1:25" x14ac:dyDescent="0.2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</row>
    <row r="471" spans="1:25" x14ac:dyDescent="0.2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</row>
    <row r="472" spans="1:25" x14ac:dyDescent="0.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</row>
    <row r="473" spans="1:25" x14ac:dyDescent="0.2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</row>
    <row r="474" spans="1:25" x14ac:dyDescent="0.2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</row>
    <row r="475" spans="1:25" x14ac:dyDescent="0.2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</row>
    <row r="476" spans="1:25" x14ac:dyDescent="0.2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</row>
    <row r="477" spans="1:25" x14ac:dyDescent="0.2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</row>
    <row r="478" spans="1:25" x14ac:dyDescent="0.2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</row>
    <row r="479" spans="1:25" x14ac:dyDescent="0.2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</row>
    <row r="480" spans="1:25" x14ac:dyDescent="0.2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</row>
    <row r="481" spans="1:25" x14ac:dyDescent="0.2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</row>
    <row r="482" spans="1:25" x14ac:dyDescent="0.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</row>
    <row r="483" spans="1:25" x14ac:dyDescent="0.2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</row>
    <row r="484" spans="1:25" x14ac:dyDescent="0.2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</row>
    <row r="485" spans="1:25" x14ac:dyDescent="0.2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</row>
    <row r="486" spans="1:25" x14ac:dyDescent="0.2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</row>
    <row r="487" spans="1:25" x14ac:dyDescent="0.2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</row>
    <row r="488" spans="1:25" x14ac:dyDescent="0.2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</row>
    <row r="489" spans="1:25" x14ac:dyDescent="0.2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</row>
    <row r="490" spans="1:25" x14ac:dyDescent="0.2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</row>
    <row r="491" spans="1:25" x14ac:dyDescent="0.2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</row>
    <row r="492" spans="1:25" x14ac:dyDescent="0.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</row>
    <row r="493" spans="1:25" x14ac:dyDescent="0.2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</row>
    <row r="494" spans="1:25" x14ac:dyDescent="0.2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</row>
    <row r="495" spans="1:25" x14ac:dyDescent="0.2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</row>
    <row r="496" spans="1:25" x14ac:dyDescent="0.2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</row>
    <row r="497" spans="1:25" x14ac:dyDescent="0.2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</row>
    <row r="498" spans="1:25" x14ac:dyDescent="0.2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</row>
    <row r="499" spans="1:25" x14ac:dyDescent="0.2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</row>
    <row r="500" spans="1:25" x14ac:dyDescent="0.2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</row>
    <row r="501" spans="1:25" x14ac:dyDescent="0.2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</row>
    <row r="502" spans="1:25" x14ac:dyDescent="0.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</row>
    <row r="503" spans="1:25" x14ac:dyDescent="0.2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</row>
    <row r="504" spans="1:25" x14ac:dyDescent="0.2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</row>
    <row r="505" spans="1:25" x14ac:dyDescent="0.2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</row>
    <row r="506" spans="1:25" x14ac:dyDescent="0.2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</row>
    <row r="507" spans="1:25" x14ac:dyDescent="0.2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</row>
    <row r="508" spans="1:25" x14ac:dyDescent="0.2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</row>
    <row r="509" spans="1:25" x14ac:dyDescent="0.2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</row>
    <row r="510" spans="1:25" x14ac:dyDescent="0.2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</row>
    <row r="511" spans="1:25" x14ac:dyDescent="0.2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</row>
    <row r="512" spans="1:25" x14ac:dyDescent="0.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</row>
    <row r="513" spans="1:25" x14ac:dyDescent="0.2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</row>
    <row r="514" spans="1:25" x14ac:dyDescent="0.2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</row>
    <row r="515" spans="1:25" x14ac:dyDescent="0.2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</row>
    <row r="516" spans="1:25" x14ac:dyDescent="0.2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</row>
    <row r="517" spans="1:25" x14ac:dyDescent="0.2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</row>
    <row r="518" spans="1:25" x14ac:dyDescent="0.2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</row>
    <row r="519" spans="1:25" x14ac:dyDescent="0.2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</row>
    <row r="520" spans="1:25" x14ac:dyDescent="0.2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</row>
    <row r="521" spans="1:25" x14ac:dyDescent="0.2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</row>
    <row r="522" spans="1:25" x14ac:dyDescent="0.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</row>
    <row r="523" spans="1:25" x14ac:dyDescent="0.2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</row>
    <row r="524" spans="1:25" x14ac:dyDescent="0.2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</row>
    <row r="525" spans="1:25" x14ac:dyDescent="0.2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</row>
    <row r="526" spans="1:25" x14ac:dyDescent="0.2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</row>
    <row r="527" spans="1:25" x14ac:dyDescent="0.2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</row>
    <row r="528" spans="1:25" x14ac:dyDescent="0.2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</row>
    <row r="529" spans="1:25" x14ac:dyDescent="0.2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</row>
    <row r="530" spans="1:25" x14ac:dyDescent="0.2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</row>
    <row r="531" spans="1:25" x14ac:dyDescent="0.2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</row>
    <row r="532" spans="1:25" x14ac:dyDescent="0.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</row>
    <row r="533" spans="1:25" x14ac:dyDescent="0.2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</row>
    <row r="534" spans="1:25" x14ac:dyDescent="0.2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</row>
    <row r="535" spans="1:25" x14ac:dyDescent="0.2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</row>
    <row r="536" spans="1:25" x14ac:dyDescent="0.2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</row>
    <row r="537" spans="1:25" x14ac:dyDescent="0.2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</row>
    <row r="538" spans="1:25" x14ac:dyDescent="0.2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</row>
    <row r="539" spans="1:25" x14ac:dyDescent="0.2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</row>
    <row r="540" spans="1:25" x14ac:dyDescent="0.2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</row>
    <row r="541" spans="1:25" x14ac:dyDescent="0.2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</row>
    <row r="542" spans="1:25" x14ac:dyDescent="0.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</row>
    <row r="543" spans="1:25" x14ac:dyDescent="0.2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</row>
    <row r="544" spans="1:25" x14ac:dyDescent="0.2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</row>
    <row r="545" spans="1:25" x14ac:dyDescent="0.2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</row>
    <row r="546" spans="1:25" x14ac:dyDescent="0.2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</row>
    <row r="547" spans="1:25" x14ac:dyDescent="0.2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</row>
    <row r="548" spans="1:25" x14ac:dyDescent="0.2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</row>
    <row r="549" spans="1:25" x14ac:dyDescent="0.2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</row>
    <row r="550" spans="1:25" x14ac:dyDescent="0.2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</row>
    <row r="551" spans="1:25" x14ac:dyDescent="0.2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</row>
    <row r="552" spans="1:25" x14ac:dyDescent="0.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</row>
    <row r="553" spans="1:25" x14ac:dyDescent="0.2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</row>
    <row r="554" spans="1:25" x14ac:dyDescent="0.2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</row>
    <row r="555" spans="1:25" x14ac:dyDescent="0.2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</row>
    <row r="556" spans="1:25" x14ac:dyDescent="0.2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</row>
    <row r="557" spans="1:25" x14ac:dyDescent="0.2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</row>
    <row r="558" spans="1:25" x14ac:dyDescent="0.2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</row>
    <row r="559" spans="1:25" x14ac:dyDescent="0.2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</row>
    <row r="560" spans="1:25" x14ac:dyDescent="0.2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</row>
    <row r="561" spans="1:25" x14ac:dyDescent="0.2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</row>
    <row r="562" spans="1:25" x14ac:dyDescent="0.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</row>
    <row r="563" spans="1:25" x14ac:dyDescent="0.2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</row>
    <row r="564" spans="1:25" x14ac:dyDescent="0.2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</row>
    <row r="565" spans="1:25" x14ac:dyDescent="0.2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</row>
    <row r="566" spans="1:25" x14ac:dyDescent="0.2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</row>
    <row r="567" spans="1:25" x14ac:dyDescent="0.2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</row>
    <row r="568" spans="1:25" x14ac:dyDescent="0.2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</row>
    <row r="569" spans="1:25" x14ac:dyDescent="0.2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</row>
    <row r="570" spans="1:25" x14ac:dyDescent="0.2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</row>
    <row r="571" spans="1:25" x14ac:dyDescent="0.2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</row>
    <row r="572" spans="1:25" x14ac:dyDescent="0.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</row>
    <row r="573" spans="1:25" x14ac:dyDescent="0.2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</row>
    <row r="574" spans="1:25" x14ac:dyDescent="0.2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</row>
    <row r="575" spans="1:25" x14ac:dyDescent="0.2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</row>
    <row r="576" spans="1:25" x14ac:dyDescent="0.2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</row>
    <row r="577" spans="1:25" x14ac:dyDescent="0.2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</row>
    <row r="578" spans="1:25" x14ac:dyDescent="0.2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</row>
    <row r="579" spans="1:25" x14ac:dyDescent="0.2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</row>
    <row r="580" spans="1:25" x14ac:dyDescent="0.2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</row>
    <row r="581" spans="1:25" x14ac:dyDescent="0.2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</row>
    <row r="582" spans="1:25" x14ac:dyDescent="0.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</row>
    <row r="583" spans="1:25" x14ac:dyDescent="0.2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</row>
    <row r="584" spans="1:25" x14ac:dyDescent="0.2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</row>
    <row r="585" spans="1:25" x14ac:dyDescent="0.2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</row>
    <row r="586" spans="1:25" x14ac:dyDescent="0.2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</row>
    <row r="587" spans="1:25" x14ac:dyDescent="0.2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</row>
    <row r="588" spans="1:25" x14ac:dyDescent="0.2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</row>
    <row r="589" spans="1:25" x14ac:dyDescent="0.2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</row>
    <row r="590" spans="1:25" x14ac:dyDescent="0.2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</row>
    <row r="591" spans="1:25" x14ac:dyDescent="0.2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</row>
    <row r="592" spans="1:25" x14ac:dyDescent="0.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</row>
    <row r="593" spans="1:25" x14ac:dyDescent="0.2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</row>
    <row r="594" spans="1:25" x14ac:dyDescent="0.2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</row>
    <row r="595" spans="1:25" x14ac:dyDescent="0.2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</row>
    <row r="596" spans="1:25" x14ac:dyDescent="0.2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</row>
    <row r="597" spans="1:25" x14ac:dyDescent="0.2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</row>
    <row r="598" spans="1:25" x14ac:dyDescent="0.2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</row>
    <row r="599" spans="1:25" x14ac:dyDescent="0.2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</row>
    <row r="600" spans="1:25" x14ac:dyDescent="0.2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</row>
    <row r="601" spans="1:25" x14ac:dyDescent="0.2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</row>
    <row r="602" spans="1:25" x14ac:dyDescent="0.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</row>
    <row r="603" spans="1:25" x14ac:dyDescent="0.2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</row>
    <row r="604" spans="1:25" x14ac:dyDescent="0.2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</row>
    <row r="605" spans="1:25" x14ac:dyDescent="0.2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</row>
    <row r="606" spans="1:25" x14ac:dyDescent="0.2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</row>
    <row r="607" spans="1:25" x14ac:dyDescent="0.2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</row>
    <row r="608" spans="1:25" x14ac:dyDescent="0.2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</row>
    <row r="609" spans="1:25" x14ac:dyDescent="0.2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</row>
    <row r="610" spans="1:25" x14ac:dyDescent="0.2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</row>
    <row r="611" spans="1:25" x14ac:dyDescent="0.2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</row>
    <row r="612" spans="1:25" x14ac:dyDescent="0.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</row>
    <row r="613" spans="1:25" x14ac:dyDescent="0.2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</row>
    <row r="614" spans="1:25" x14ac:dyDescent="0.2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</row>
    <row r="615" spans="1:25" x14ac:dyDescent="0.2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</row>
    <row r="616" spans="1:25" x14ac:dyDescent="0.2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</row>
    <row r="617" spans="1:25" x14ac:dyDescent="0.2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</row>
    <row r="618" spans="1:25" x14ac:dyDescent="0.2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</row>
    <row r="619" spans="1:25" x14ac:dyDescent="0.2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</row>
    <row r="620" spans="1:25" x14ac:dyDescent="0.2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</row>
    <row r="621" spans="1:25" x14ac:dyDescent="0.2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</row>
    <row r="622" spans="1:25" x14ac:dyDescent="0.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</row>
    <row r="623" spans="1:25" x14ac:dyDescent="0.2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</row>
    <row r="624" spans="1:25" x14ac:dyDescent="0.2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</row>
    <row r="625" spans="1:25" x14ac:dyDescent="0.2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</row>
    <row r="626" spans="1:25" x14ac:dyDescent="0.2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</row>
    <row r="627" spans="1:25" x14ac:dyDescent="0.2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</row>
    <row r="628" spans="1:25" x14ac:dyDescent="0.2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</row>
    <row r="629" spans="1:25" x14ac:dyDescent="0.2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</row>
    <row r="630" spans="1:25" x14ac:dyDescent="0.2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</row>
    <row r="631" spans="1:25" x14ac:dyDescent="0.2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</row>
    <row r="632" spans="1:25" x14ac:dyDescent="0.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</row>
    <row r="633" spans="1:25" x14ac:dyDescent="0.2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</row>
    <row r="634" spans="1:25" x14ac:dyDescent="0.2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</row>
    <row r="635" spans="1:25" x14ac:dyDescent="0.2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</row>
    <row r="636" spans="1:25" x14ac:dyDescent="0.2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</row>
    <row r="637" spans="1:25" x14ac:dyDescent="0.2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</row>
    <row r="638" spans="1:25" x14ac:dyDescent="0.2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</row>
    <row r="639" spans="1:25" x14ac:dyDescent="0.2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</row>
    <row r="640" spans="1:25" x14ac:dyDescent="0.2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</row>
    <row r="641" spans="1:25" x14ac:dyDescent="0.2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</row>
    <row r="642" spans="1:25" x14ac:dyDescent="0.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</row>
    <row r="643" spans="1:25" x14ac:dyDescent="0.2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</row>
    <row r="644" spans="1:25" x14ac:dyDescent="0.2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</row>
    <row r="645" spans="1:25" x14ac:dyDescent="0.2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</row>
    <row r="646" spans="1:25" x14ac:dyDescent="0.2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</row>
    <row r="647" spans="1:25" x14ac:dyDescent="0.2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</row>
    <row r="648" spans="1:25" x14ac:dyDescent="0.2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</row>
    <row r="649" spans="1:25" x14ac:dyDescent="0.2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</row>
    <row r="650" spans="1:25" x14ac:dyDescent="0.2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</row>
    <row r="651" spans="1:25" x14ac:dyDescent="0.2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</row>
    <row r="652" spans="1:25" x14ac:dyDescent="0.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</row>
    <row r="653" spans="1:25" x14ac:dyDescent="0.2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</row>
    <row r="654" spans="1:25" x14ac:dyDescent="0.2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</row>
    <row r="655" spans="1:25" x14ac:dyDescent="0.2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</row>
    <row r="656" spans="1:25" x14ac:dyDescent="0.2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</row>
    <row r="657" spans="1:25" x14ac:dyDescent="0.2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</row>
    <row r="658" spans="1:25" x14ac:dyDescent="0.2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</row>
    <row r="659" spans="1:25" x14ac:dyDescent="0.2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</row>
    <row r="660" spans="1:25" x14ac:dyDescent="0.2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</row>
    <row r="661" spans="1:25" x14ac:dyDescent="0.2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</row>
    <row r="662" spans="1:25" x14ac:dyDescent="0.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</row>
    <row r="663" spans="1:25" x14ac:dyDescent="0.2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</row>
    <row r="664" spans="1:25" x14ac:dyDescent="0.2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</row>
    <row r="665" spans="1:25" x14ac:dyDescent="0.2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</row>
    <row r="666" spans="1:25" x14ac:dyDescent="0.2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</row>
    <row r="667" spans="1:25" x14ac:dyDescent="0.2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</row>
    <row r="668" spans="1:25" x14ac:dyDescent="0.2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</row>
    <row r="669" spans="1:25" x14ac:dyDescent="0.2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</row>
    <row r="670" spans="1:25" x14ac:dyDescent="0.2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</row>
    <row r="671" spans="1:25" x14ac:dyDescent="0.2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</row>
    <row r="672" spans="1:25" x14ac:dyDescent="0.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</row>
    <row r="673" spans="1:25" x14ac:dyDescent="0.2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</row>
    <row r="674" spans="1:25" x14ac:dyDescent="0.2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</row>
    <row r="675" spans="1:25" x14ac:dyDescent="0.2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</row>
    <row r="676" spans="1:25" x14ac:dyDescent="0.2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</row>
    <row r="677" spans="1:25" x14ac:dyDescent="0.2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</row>
    <row r="678" spans="1:25" x14ac:dyDescent="0.2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</row>
    <row r="679" spans="1:25" x14ac:dyDescent="0.2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</row>
    <row r="680" spans="1:25" x14ac:dyDescent="0.2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</row>
    <row r="681" spans="1:25" x14ac:dyDescent="0.2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</row>
    <row r="682" spans="1:25" x14ac:dyDescent="0.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</row>
    <row r="683" spans="1:25" x14ac:dyDescent="0.2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</row>
    <row r="684" spans="1:25" x14ac:dyDescent="0.2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</row>
    <row r="685" spans="1:25" x14ac:dyDescent="0.2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</row>
    <row r="686" spans="1:25" x14ac:dyDescent="0.2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</row>
    <row r="687" spans="1:25" x14ac:dyDescent="0.2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</row>
    <row r="688" spans="1:25" x14ac:dyDescent="0.2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</row>
    <row r="689" spans="1:25" x14ac:dyDescent="0.2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</row>
    <row r="690" spans="1:25" x14ac:dyDescent="0.2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</row>
    <row r="691" spans="1:25" x14ac:dyDescent="0.2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</row>
    <row r="692" spans="1:25" x14ac:dyDescent="0.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</row>
    <row r="693" spans="1:25" x14ac:dyDescent="0.2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</row>
    <row r="694" spans="1:25" x14ac:dyDescent="0.2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</row>
    <row r="695" spans="1:25" x14ac:dyDescent="0.2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</row>
    <row r="696" spans="1:25" x14ac:dyDescent="0.2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</row>
    <row r="697" spans="1:25" x14ac:dyDescent="0.2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</row>
    <row r="698" spans="1:25" x14ac:dyDescent="0.2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</row>
    <row r="699" spans="1:25" x14ac:dyDescent="0.2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</row>
    <row r="700" spans="1:25" x14ac:dyDescent="0.2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</row>
    <row r="701" spans="1:25" x14ac:dyDescent="0.2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</row>
    <row r="702" spans="1:25" x14ac:dyDescent="0.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</row>
    <row r="703" spans="1:25" x14ac:dyDescent="0.2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</row>
    <row r="704" spans="1:25" x14ac:dyDescent="0.2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</row>
    <row r="705" spans="1:25" x14ac:dyDescent="0.2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</row>
    <row r="706" spans="1:25" x14ac:dyDescent="0.2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</row>
    <row r="707" spans="1:25" x14ac:dyDescent="0.2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</row>
    <row r="708" spans="1:25" x14ac:dyDescent="0.2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</row>
    <row r="709" spans="1:25" x14ac:dyDescent="0.2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</row>
    <row r="710" spans="1:25" x14ac:dyDescent="0.2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</row>
    <row r="711" spans="1:25" x14ac:dyDescent="0.2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</row>
    <row r="712" spans="1:25" x14ac:dyDescent="0.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</row>
    <row r="713" spans="1:25" x14ac:dyDescent="0.2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</row>
    <row r="714" spans="1:25" x14ac:dyDescent="0.2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</row>
    <row r="715" spans="1:25" x14ac:dyDescent="0.2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</row>
    <row r="716" spans="1:25" x14ac:dyDescent="0.2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</row>
    <row r="717" spans="1:25" x14ac:dyDescent="0.2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</row>
    <row r="718" spans="1:25" x14ac:dyDescent="0.2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</row>
    <row r="719" spans="1:25" x14ac:dyDescent="0.2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</row>
    <row r="720" spans="1:25" x14ac:dyDescent="0.2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</row>
    <row r="721" spans="1:25" x14ac:dyDescent="0.2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</row>
    <row r="722" spans="1:25" x14ac:dyDescent="0.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</row>
    <row r="723" spans="1:25" x14ac:dyDescent="0.2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</row>
    <row r="724" spans="1:25" x14ac:dyDescent="0.2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</row>
    <row r="725" spans="1:25" x14ac:dyDescent="0.2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</row>
    <row r="726" spans="1:25" x14ac:dyDescent="0.2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</row>
    <row r="727" spans="1:25" x14ac:dyDescent="0.2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</row>
    <row r="728" spans="1:25" x14ac:dyDescent="0.2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</row>
    <row r="729" spans="1:25" x14ac:dyDescent="0.2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</row>
    <row r="730" spans="1:25" x14ac:dyDescent="0.2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</row>
    <row r="731" spans="1:25" x14ac:dyDescent="0.2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</row>
    <row r="732" spans="1:25" x14ac:dyDescent="0.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</row>
    <row r="733" spans="1:25" x14ac:dyDescent="0.2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</row>
    <row r="734" spans="1:25" x14ac:dyDescent="0.2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</row>
    <row r="735" spans="1:25" x14ac:dyDescent="0.2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</row>
    <row r="736" spans="1:25" x14ac:dyDescent="0.2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</row>
    <row r="737" spans="1:25" x14ac:dyDescent="0.2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</row>
    <row r="738" spans="1:25" x14ac:dyDescent="0.2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</row>
    <row r="739" spans="1:25" x14ac:dyDescent="0.2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</row>
    <row r="740" spans="1:25" x14ac:dyDescent="0.2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</row>
    <row r="741" spans="1:25" x14ac:dyDescent="0.2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</row>
    <row r="742" spans="1:25" x14ac:dyDescent="0.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</row>
    <row r="743" spans="1:25" x14ac:dyDescent="0.2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</row>
    <row r="744" spans="1:25" x14ac:dyDescent="0.2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</row>
    <row r="745" spans="1:25" x14ac:dyDescent="0.2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</row>
    <row r="746" spans="1:25" x14ac:dyDescent="0.2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</row>
    <row r="747" spans="1:25" x14ac:dyDescent="0.2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</row>
    <row r="748" spans="1:25" x14ac:dyDescent="0.2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</row>
    <row r="749" spans="1:25" x14ac:dyDescent="0.2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</row>
    <row r="750" spans="1:25" x14ac:dyDescent="0.2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</row>
    <row r="751" spans="1:25" x14ac:dyDescent="0.2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</row>
    <row r="752" spans="1:25" x14ac:dyDescent="0.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</row>
    <row r="753" spans="1:25" x14ac:dyDescent="0.2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</row>
    <row r="754" spans="1:25" x14ac:dyDescent="0.2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</row>
    <row r="755" spans="1:25" x14ac:dyDescent="0.2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</row>
    <row r="756" spans="1:25" x14ac:dyDescent="0.2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</row>
    <row r="757" spans="1:25" x14ac:dyDescent="0.2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</row>
    <row r="758" spans="1:25" x14ac:dyDescent="0.2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</row>
    <row r="759" spans="1:25" x14ac:dyDescent="0.2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</row>
    <row r="760" spans="1:25" x14ac:dyDescent="0.2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</row>
    <row r="761" spans="1:25" x14ac:dyDescent="0.2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</row>
    <row r="762" spans="1:25" x14ac:dyDescent="0.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</row>
    <row r="763" spans="1:25" x14ac:dyDescent="0.2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</row>
    <row r="764" spans="1:25" x14ac:dyDescent="0.2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</row>
    <row r="765" spans="1:25" x14ac:dyDescent="0.2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</row>
    <row r="766" spans="1:25" x14ac:dyDescent="0.2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</row>
    <row r="767" spans="1:25" x14ac:dyDescent="0.2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</row>
    <row r="768" spans="1:25" x14ac:dyDescent="0.2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</row>
    <row r="769" spans="1:25" x14ac:dyDescent="0.2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</row>
    <row r="770" spans="1:25" x14ac:dyDescent="0.2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</row>
    <row r="771" spans="1:25" x14ac:dyDescent="0.2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</row>
    <row r="772" spans="1:25" x14ac:dyDescent="0.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</row>
    <row r="773" spans="1:25" x14ac:dyDescent="0.2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</row>
    <row r="774" spans="1:25" x14ac:dyDescent="0.2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</row>
    <row r="775" spans="1:25" x14ac:dyDescent="0.2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</row>
    <row r="776" spans="1:25" x14ac:dyDescent="0.2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</row>
    <row r="777" spans="1:25" x14ac:dyDescent="0.2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</row>
    <row r="778" spans="1:25" x14ac:dyDescent="0.2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</row>
    <row r="779" spans="1:25" x14ac:dyDescent="0.2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</row>
    <row r="780" spans="1:25" x14ac:dyDescent="0.2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</row>
    <row r="781" spans="1:25" x14ac:dyDescent="0.2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</row>
    <row r="782" spans="1:25" x14ac:dyDescent="0.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</row>
    <row r="783" spans="1:25" x14ac:dyDescent="0.2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</row>
    <row r="784" spans="1:25" x14ac:dyDescent="0.2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</row>
    <row r="785" spans="1:25" x14ac:dyDescent="0.2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</row>
    <row r="786" spans="1:25" x14ac:dyDescent="0.2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</row>
    <row r="787" spans="1:25" x14ac:dyDescent="0.2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</row>
    <row r="788" spans="1:25" x14ac:dyDescent="0.2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</row>
    <row r="789" spans="1:25" x14ac:dyDescent="0.2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</row>
    <row r="790" spans="1:25" x14ac:dyDescent="0.2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</row>
    <row r="791" spans="1:25" x14ac:dyDescent="0.2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</row>
    <row r="792" spans="1:25" x14ac:dyDescent="0.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</row>
    <row r="793" spans="1:25" x14ac:dyDescent="0.2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</row>
    <row r="794" spans="1:25" x14ac:dyDescent="0.2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</row>
    <row r="795" spans="1:25" x14ac:dyDescent="0.2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</row>
    <row r="796" spans="1:25" x14ac:dyDescent="0.2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</row>
    <row r="797" spans="1:25" x14ac:dyDescent="0.2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</row>
    <row r="798" spans="1:25" x14ac:dyDescent="0.2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</row>
    <row r="799" spans="1:25" x14ac:dyDescent="0.2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</row>
    <row r="800" spans="1:25" x14ac:dyDescent="0.2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</row>
    <row r="801" spans="1:25" x14ac:dyDescent="0.2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</row>
    <row r="802" spans="1:25" x14ac:dyDescent="0.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</row>
    <row r="803" spans="1:25" x14ac:dyDescent="0.2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</row>
    <row r="804" spans="1:25" x14ac:dyDescent="0.2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</row>
    <row r="805" spans="1:25" x14ac:dyDescent="0.2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</row>
    <row r="806" spans="1:25" x14ac:dyDescent="0.2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</row>
    <row r="807" spans="1:25" x14ac:dyDescent="0.2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</row>
    <row r="808" spans="1:25" x14ac:dyDescent="0.2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</row>
    <row r="809" spans="1:25" x14ac:dyDescent="0.2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</row>
    <row r="810" spans="1:25" x14ac:dyDescent="0.2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</row>
    <row r="811" spans="1:25" x14ac:dyDescent="0.2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</row>
    <row r="812" spans="1:25" x14ac:dyDescent="0.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</row>
    <row r="813" spans="1:25" x14ac:dyDescent="0.2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</row>
    <row r="814" spans="1:25" x14ac:dyDescent="0.2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</row>
    <row r="815" spans="1:25" x14ac:dyDescent="0.2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</row>
    <row r="816" spans="1:25" x14ac:dyDescent="0.2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</row>
    <row r="817" spans="1:25" x14ac:dyDescent="0.2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</row>
    <row r="818" spans="1:25" x14ac:dyDescent="0.2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</row>
    <row r="819" spans="1:25" x14ac:dyDescent="0.2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</row>
    <row r="820" spans="1:25" x14ac:dyDescent="0.2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</row>
    <row r="821" spans="1:25" x14ac:dyDescent="0.2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</row>
    <row r="822" spans="1:25" x14ac:dyDescent="0.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</row>
    <row r="823" spans="1:25" x14ac:dyDescent="0.2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</row>
    <row r="824" spans="1:25" x14ac:dyDescent="0.2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</row>
    <row r="825" spans="1:25" x14ac:dyDescent="0.2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</row>
    <row r="826" spans="1:25" x14ac:dyDescent="0.2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</row>
    <row r="827" spans="1:25" x14ac:dyDescent="0.2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</row>
    <row r="828" spans="1:25" x14ac:dyDescent="0.2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</row>
    <row r="829" spans="1:25" x14ac:dyDescent="0.2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</row>
    <row r="830" spans="1:25" x14ac:dyDescent="0.2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</row>
    <row r="831" spans="1:25" x14ac:dyDescent="0.2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</row>
    <row r="832" spans="1:25" x14ac:dyDescent="0.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</row>
    <row r="833" spans="1:25" x14ac:dyDescent="0.2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</row>
    <row r="834" spans="1:25" x14ac:dyDescent="0.2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</row>
    <row r="835" spans="1:25" x14ac:dyDescent="0.2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</row>
    <row r="836" spans="1:25" x14ac:dyDescent="0.2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</row>
    <row r="837" spans="1:25" x14ac:dyDescent="0.2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</row>
    <row r="838" spans="1:25" x14ac:dyDescent="0.2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</row>
    <row r="839" spans="1:25" x14ac:dyDescent="0.2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</row>
    <row r="840" spans="1:25" x14ac:dyDescent="0.2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</row>
    <row r="841" spans="1:25" x14ac:dyDescent="0.2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</row>
    <row r="842" spans="1:25" x14ac:dyDescent="0.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</row>
    <row r="843" spans="1:25" x14ac:dyDescent="0.2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</row>
    <row r="844" spans="1:25" x14ac:dyDescent="0.2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</row>
    <row r="845" spans="1:25" x14ac:dyDescent="0.2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</row>
    <row r="846" spans="1:25" x14ac:dyDescent="0.2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</row>
    <row r="847" spans="1:25" x14ac:dyDescent="0.2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</row>
    <row r="848" spans="1:25" x14ac:dyDescent="0.2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</row>
    <row r="849" spans="1:25" x14ac:dyDescent="0.2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</row>
    <row r="850" spans="1:25" x14ac:dyDescent="0.2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</row>
    <row r="851" spans="1:25" x14ac:dyDescent="0.2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</row>
    <row r="852" spans="1:25" x14ac:dyDescent="0.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</row>
    <row r="853" spans="1:25" x14ac:dyDescent="0.2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</row>
    <row r="854" spans="1:25" x14ac:dyDescent="0.2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</row>
    <row r="855" spans="1:25" x14ac:dyDescent="0.2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</row>
    <row r="856" spans="1:25" x14ac:dyDescent="0.2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</row>
    <row r="857" spans="1:25" x14ac:dyDescent="0.2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</row>
    <row r="858" spans="1:25" x14ac:dyDescent="0.2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</row>
    <row r="859" spans="1:25" x14ac:dyDescent="0.2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</row>
    <row r="860" spans="1:25" x14ac:dyDescent="0.2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</row>
    <row r="861" spans="1:25" x14ac:dyDescent="0.2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</row>
    <row r="862" spans="1:25" x14ac:dyDescent="0.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</row>
    <row r="863" spans="1:25" x14ac:dyDescent="0.2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</row>
    <row r="864" spans="1:25" x14ac:dyDescent="0.2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</row>
    <row r="865" spans="1:25" x14ac:dyDescent="0.2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</row>
    <row r="866" spans="1:25" x14ac:dyDescent="0.2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</row>
    <row r="867" spans="1:25" x14ac:dyDescent="0.2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</row>
    <row r="868" spans="1:25" x14ac:dyDescent="0.2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</row>
    <row r="869" spans="1:25" x14ac:dyDescent="0.2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</row>
    <row r="870" spans="1:25" x14ac:dyDescent="0.2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</row>
    <row r="871" spans="1:25" x14ac:dyDescent="0.2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</row>
    <row r="872" spans="1:25" x14ac:dyDescent="0.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</row>
    <row r="873" spans="1:25" x14ac:dyDescent="0.2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</row>
    <row r="874" spans="1:25" x14ac:dyDescent="0.2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</row>
    <row r="875" spans="1:25" x14ac:dyDescent="0.2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</row>
    <row r="876" spans="1:25" x14ac:dyDescent="0.2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</row>
    <row r="877" spans="1:25" x14ac:dyDescent="0.2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</row>
    <row r="878" spans="1:25" x14ac:dyDescent="0.2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</row>
    <row r="879" spans="1:25" x14ac:dyDescent="0.2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</row>
    <row r="880" spans="1:25" x14ac:dyDescent="0.2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</row>
    <row r="881" spans="1:25" x14ac:dyDescent="0.2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</row>
    <row r="882" spans="1:25" x14ac:dyDescent="0.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</row>
    <row r="883" spans="1:25" x14ac:dyDescent="0.2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</row>
    <row r="884" spans="1:25" x14ac:dyDescent="0.2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</row>
    <row r="885" spans="1:25" x14ac:dyDescent="0.2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</row>
    <row r="886" spans="1:25" x14ac:dyDescent="0.2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</row>
    <row r="887" spans="1:25" x14ac:dyDescent="0.2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</row>
    <row r="888" spans="1:25" x14ac:dyDescent="0.2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</row>
    <row r="889" spans="1:25" x14ac:dyDescent="0.2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</row>
    <row r="890" spans="1:25" x14ac:dyDescent="0.2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</row>
    <row r="891" spans="1:25" x14ac:dyDescent="0.2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</row>
    <row r="892" spans="1:25" x14ac:dyDescent="0.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</row>
    <row r="893" spans="1:25" x14ac:dyDescent="0.2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</row>
    <row r="894" spans="1:25" x14ac:dyDescent="0.2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</row>
    <row r="895" spans="1:25" x14ac:dyDescent="0.2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</row>
    <row r="896" spans="1:25" x14ac:dyDescent="0.2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</row>
    <row r="897" spans="1:25" x14ac:dyDescent="0.2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</row>
    <row r="898" spans="1:25" x14ac:dyDescent="0.2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</row>
    <row r="899" spans="1:25" x14ac:dyDescent="0.2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</row>
    <row r="900" spans="1:25" x14ac:dyDescent="0.2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</row>
    <row r="901" spans="1:25" x14ac:dyDescent="0.2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</row>
    <row r="902" spans="1:25" x14ac:dyDescent="0.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</row>
    <row r="903" spans="1:25" x14ac:dyDescent="0.2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</row>
    <row r="904" spans="1:25" x14ac:dyDescent="0.2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</row>
    <row r="905" spans="1:25" x14ac:dyDescent="0.2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</row>
    <row r="906" spans="1:25" x14ac:dyDescent="0.2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</row>
    <row r="907" spans="1:25" x14ac:dyDescent="0.2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</row>
    <row r="908" spans="1:25" x14ac:dyDescent="0.2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</row>
    <row r="909" spans="1:25" x14ac:dyDescent="0.2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</row>
    <row r="910" spans="1:25" x14ac:dyDescent="0.2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</row>
    <row r="911" spans="1:25" x14ac:dyDescent="0.2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</row>
    <row r="912" spans="1:25" x14ac:dyDescent="0.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</row>
    <row r="913" spans="1:25" x14ac:dyDescent="0.2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</row>
    <row r="914" spans="1:25" x14ac:dyDescent="0.2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</row>
    <row r="915" spans="1:25" x14ac:dyDescent="0.2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</row>
    <row r="916" spans="1:25" x14ac:dyDescent="0.2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</row>
    <row r="917" spans="1:25" x14ac:dyDescent="0.2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</row>
    <row r="918" spans="1:25" x14ac:dyDescent="0.2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</row>
    <row r="919" spans="1:25" x14ac:dyDescent="0.2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</row>
    <row r="920" spans="1:25" x14ac:dyDescent="0.2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</row>
    <row r="921" spans="1:25" x14ac:dyDescent="0.2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</row>
    <row r="922" spans="1:25" x14ac:dyDescent="0.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</row>
    <row r="923" spans="1:25" x14ac:dyDescent="0.2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</row>
    <row r="924" spans="1:25" x14ac:dyDescent="0.2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</row>
    <row r="925" spans="1:25" x14ac:dyDescent="0.2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</row>
    <row r="926" spans="1:25" x14ac:dyDescent="0.2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</row>
    <row r="927" spans="1:25" x14ac:dyDescent="0.2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</row>
    <row r="928" spans="1:25" x14ac:dyDescent="0.2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</row>
    <row r="929" spans="1:25" x14ac:dyDescent="0.2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</row>
    <row r="930" spans="1:25" x14ac:dyDescent="0.2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</row>
    <row r="931" spans="1:25" x14ac:dyDescent="0.2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</row>
    <row r="932" spans="1:25" x14ac:dyDescent="0.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</row>
    <row r="933" spans="1:25" x14ac:dyDescent="0.2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</row>
    <row r="934" spans="1:25" x14ac:dyDescent="0.2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</row>
    <row r="935" spans="1:25" x14ac:dyDescent="0.2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</row>
    <row r="936" spans="1:25" x14ac:dyDescent="0.2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</row>
    <row r="937" spans="1:25" x14ac:dyDescent="0.2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</row>
    <row r="938" spans="1:25" x14ac:dyDescent="0.2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</row>
    <row r="939" spans="1:25" x14ac:dyDescent="0.2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</row>
    <row r="940" spans="1:25" x14ac:dyDescent="0.2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</row>
    <row r="941" spans="1:25" x14ac:dyDescent="0.2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</row>
    <row r="942" spans="1:25" x14ac:dyDescent="0.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</row>
    <row r="943" spans="1:25" x14ac:dyDescent="0.2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</row>
    <row r="944" spans="1:25" x14ac:dyDescent="0.2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</row>
    <row r="945" spans="1:25" x14ac:dyDescent="0.2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</row>
    <row r="946" spans="1:25" x14ac:dyDescent="0.2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</row>
    <row r="947" spans="1:25" x14ac:dyDescent="0.2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</row>
    <row r="948" spans="1:25" x14ac:dyDescent="0.2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</row>
    <row r="949" spans="1:25" x14ac:dyDescent="0.2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</row>
    <row r="950" spans="1:25" x14ac:dyDescent="0.2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</row>
    <row r="951" spans="1:25" x14ac:dyDescent="0.2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</row>
    <row r="952" spans="1:25" x14ac:dyDescent="0.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</row>
    <row r="953" spans="1:25" x14ac:dyDescent="0.2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</row>
    <row r="954" spans="1:25" x14ac:dyDescent="0.2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</row>
    <row r="955" spans="1:25" x14ac:dyDescent="0.2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</row>
    <row r="956" spans="1:25" x14ac:dyDescent="0.2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</row>
    <row r="957" spans="1:25" x14ac:dyDescent="0.2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</row>
    <row r="958" spans="1:25" x14ac:dyDescent="0.2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</row>
    <row r="959" spans="1:25" x14ac:dyDescent="0.2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</row>
    <row r="960" spans="1:25" x14ac:dyDescent="0.2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</row>
    <row r="961" spans="1:25" x14ac:dyDescent="0.2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</row>
    <row r="962" spans="1:25" x14ac:dyDescent="0.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</row>
    <row r="963" spans="1:25" x14ac:dyDescent="0.2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</row>
    <row r="964" spans="1:25" x14ac:dyDescent="0.2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</row>
    <row r="965" spans="1:25" x14ac:dyDescent="0.2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</row>
    <row r="966" spans="1:25" x14ac:dyDescent="0.2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</row>
    <row r="967" spans="1:25" x14ac:dyDescent="0.2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</row>
    <row r="968" spans="1:25" x14ac:dyDescent="0.2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</row>
    <row r="969" spans="1:25" x14ac:dyDescent="0.2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</row>
    <row r="970" spans="1:25" x14ac:dyDescent="0.2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</row>
    <row r="971" spans="1:25" x14ac:dyDescent="0.2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</row>
    <row r="972" spans="1:25" x14ac:dyDescent="0.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</row>
    <row r="973" spans="1:25" x14ac:dyDescent="0.2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</row>
    <row r="974" spans="1:25" x14ac:dyDescent="0.2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</row>
    <row r="975" spans="1:25" x14ac:dyDescent="0.2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</row>
    <row r="976" spans="1:25" x14ac:dyDescent="0.2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</row>
    <row r="977" spans="1:25" x14ac:dyDescent="0.2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</row>
    <row r="978" spans="1:25" x14ac:dyDescent="0.2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</row>
    <row r="979" spans="1:25" x14ac:dyDescent="0.2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</row>
    <row r="980" spans="1:25" x14ac:dyDescent="0.2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</row>
    <row r="981" spans="1:25" x14ac:dyDescent="0.2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</row>
    <row r="982" spans="1:25" x14ac:dyDescent="0.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</row>
    <row r="983" spans="1:25" x14ac:dyDescent="0.2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</row>
    <row r="984" spans="1:25" x14ac:dyDescent="0.2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</row>
    <row r="985" spans="1:25" x14ac:dyDescent="0.2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</row>
    <row r="986" spans="1:25" x14ac:dyDescent="0.2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</row>
    <row r="987" spans="1:25" x14ac:dyDescent="0.2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</row>
    <row r="988" spans="1:25" x14ac:dyDescent="0.2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</row>
    <row r="989" spans="1:25" x14ac:dyDescent="0.2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</row>
    <row r="990" spans="1:25" x14ac:dyDescent="0.2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</row>
    <row r="991" spans="1:25" x14ac:dyDescent="0.2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</row>
    <row r="992" spans="1:25" x14ac:dyDescent="0.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</row>
    <row r="993" spans="1:25" x14ac:dyDescent="0.2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</row>
    <row r="994" spans="1:25" x14ac:dyDescent="0.2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</row>
    <row r="995" spans="1:25" x14ac:dyDescent="0.2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</row>
    <row r="996" spans="1:25" x14ac:dyDescent="0.2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</row>
    <row r="997" spans="1:25" x14ac:dyDescent="0.2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</row>
    <row r="998" spans="1:25" x14ac:dyDescent="0.2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</row>
    <row r="999" spans="1:25" x14ac:dyDescent="0.2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</row>
    <row r="1000" spans="1:25" x14ac:dyDescent="0.2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</row>
    <row r="1001" spans="1:25" x14ac:dyDescent="0.2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</row>
    <row r="1002" spans="1:25" x14ac:dyDescent="0.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</row>
    <row r="1003" spans="1:25" x14ac:dyDescent="0.2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</row>
    <row r="1004" spans="1:25" x14ac:dyDescent="0.2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Apple</vt:lpstr>
      <vt:lpstr>Samsung</vt:lpstr>
      <vt:lpstr>Google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Gaurav Rawal</cp:lastModifiedBy>
  <dcterms:modified xsi:type="dcterms:W3CDTF">2026-06-04T21:31:49Z</dcterms:modified>
</cp:coreProperties>
</file>